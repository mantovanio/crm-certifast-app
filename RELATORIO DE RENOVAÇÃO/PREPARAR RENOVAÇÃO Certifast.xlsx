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480CAA0D-F090-41A4-B751-DB175302259B}" xr6:coauthVersionLast="47" xr6:coauthVersionMax="47" xr10:uidLastSave="{00000000-0000-0000-0000-000000000000}"/>
  <bookViews>
    <workbookView xWindow="-38520" yWindow="-4725" windowWidth="38640" windowHeight="15720" xr2:uid="{00000000-000D-0000-FFFF-FFFF00000000}"/>
  </bookViews>
  <sheets>
    <sheet name="Folha3" sheetId="1" r:id="rId1"/>
    <sheet name="Transferencia" sheetId="4" r:id="rId2"/>
    <sheet name="Página1" sheetId="3" r:id="rId3"/>
  </sheets>
  <definedNames>
    <definedName name="_xlnm._FilterDatabase" localSheetId="0" hidden="1">Folha3!$A$1:$L$674</definedName>
    <definedName name="_xlnm._FilterDatabase" localSheetId="1" hidden="1">Transferencia!$A$1:$N$696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3" i="1"/>
  <c r="K4" i="1"/>
  <c r="K5" i="1"/>
  <c r="K6" i="1"/>
  <c r="K7" i="1"/>
  <c r="K8" i="1"/>
  <c r="K9" i="1"/>
  <c r="K10" i="1"/>
  <c r="K11" i="1"/>
  <c r="K1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G3" i="1"/>
  <c r="G4" i="1"/>
  <c r="H4" i="1" s="1"/>
  <c r="G5" i="1"/>
  <c r="H5" i="1" s="1"/>
  <c r="G6" i="1"/>
  <c r="H6" i="1" s="1"/>
  <c r="G7" i="1"/>
  <c r="G8" i="1"/>
  <c r="H8" i="1" s="1"/>
  <c r="G9" i="1"/>
  <c r="H9" i="1" s="1"/>
  <c r="G10" i="1"/>
  <c r="H10" i="1" s="1"/>
  <c r="G11" i="1"/>
  <c r="G12" i="1"/>
  <c r="H12" i="1" s="1"/>
  <c r="G13" i="1"/>
  <c r="G14" i="1"/>
  <c r="H14" i="1" s="1"/>
  <c r="G15" i="1"/>
  <c r="G16" i="1"/>
  <c r="H16" i="1" s="1"/>
  <c r="G17" i="1"/>
  <c r="H17" i="1" s="1"/>
  <c r="G18" i="1"/>
  <c r="H18" i="1" s="1"/>
  <c r="G19" i="1"/>
  <c r="G20" i="1"/>
  <c r="G21" i="1"/>
  <c r="G22" i="1"/>
  <c r="H22" i="1" s="1"/>
  <c r="G23" i="1"/>
  <c r="G24" i="1"/>
  <c r="H24" i="1" s="1"/>
  <c r="G25" i="1"/>
  <c r="H25" i="1" s="1"/>
  <c r="G26" i="1"/>
  <c r="H26" i="1" s="1"/>
  <c r="G27" i="1"/>
  <c r="G28" i="1"/>
  <c r="G29" i="1"/>
  <c r="G30" i="1"/>
  <c r="H30" i="1" s="1"/>
  <c r="G31" i="1"/>
  <c r="G32" i="1"/>
  <c r="H32" i="1" s="1"/>
  <c r="G33" i="1"/>
  <c r="H33" i="1" s="1"/>
  <c r="G34" i="1"/>
  <c r="H34" i="1" s="1"/>
  <c r="G35" i="1"/>
  <c r="G36" i="1"/>
  <c r="H36" i="1" s="1"/>
  <c r="G37" i="1"/>
  <c r="H37" i="1" s="1"/>
  <c r="G38" i="1"/>
  <c r="H38" i="1" s="1"/>
  <c r="G39" i="1"/>
  <c r="G40" i="1"/>
  <c r="H40" i="1" s="1"/>
  <c r="G41" i="1"/>
  <c r="H41" i="1" s="1"/>
  <c r="G42" i="1"/>
  <c r="H42" i="1" s="1"/>
  <c r="G43" i="1"/>
  <c r="G44" i="1"/>
  <c r="G45" i="1"/>
  <c r="H45" i="1" s="1"/>
  <c r="G46" i="1"/>
  <c r="H46" i="1" s="1"/>
  <c r="G47" i="1"/>
  <c r="G48" i="1"/>
  <c r="H48" i="1" s="1"/>
  <c r="G49" i="1"/>
  <c r="H49" i="1" s="1"/>
  <c r="G50" i="1"/>
  <c r="H50" i="1" s="1"/>
  <c r="G51" i="1"/>
  <c r="G52" i="1"/>
  <c r="H52" i="1" s="1"/>
  <c r="G53" i="1"/>
  <c r="H53" i="1" s="1"/>
  <c r="G54" i="1"/>
  <c r="H54" i="1" s="1"/>
  <c r="G55" i="1"/>
  <c r="G56" i="1"/>
  <c r="H56" i="1" s="1"/>
  <c r="G57" i="1"/>
  <c r="H57" i="1" s="1"/>
  <c r="G58" i="1"/>
  <c r="H58" i="1" s="1"/>
  <c r="G59" i="1"/>
  <c r="G60" i="1"/>
  <c r="H60" i="1" s="1"/>
  <c r="G61" i="1"/>
  <c r="H61" i="1" s="1"/>
  <c r="G62" i="1"/>
  <c r="H62" i="1" s="1"/>
  <c r="G63" i="1"/>
  <c r="G64" i="1"/>
  <c r="H64" i="1" s="1"/>
  <c r="G65" i="1"/>
  <c r="H65" i="1" s="1"/>
  <c r="G66" i="1"/>
  <c r="H66" i="1" s="1"/>
  <c r="G67" i="1"/>
  <c r="G68" i="1"/>
  <c r="H68" i="1" s="1"/>
  <c r="G69" i="1"/>
  <c r="H69" i="1" s="1"/>
  <c r="G70" i="1"/>
  <c r="H70" i="1" s="1"/>
  <c r="G71" i="1"/>
  <c r="G72" i="1"/>
  <c r="H72" i="1" s="1"/>
  <c r="G73" i="1"/>
  <c r="H73" i="1" s="1"/>
  <c r="G74" i="1"/>
  <c r="H74" i="1" s="1"/>
  <c r="G75" i="1"/>
  <c r="G76" i="1"/>
  <c r="H76" i="1" s="1"/>
  <c r="G77" i="1"/>
  <c r="H77" i="1" s="1"/>
  <c r="G78" i="1"/>
  <c r="H78" i="1" s="1"/>
  <c r="G79" i="1"/>
  <c r="G80" i="1"/>
  <c r="H80" i="1" s="1"/>
  <c r="G81" i="1"/>
  <c r="H81" i="1" s="1"/>
  <c r="G82" i="1"/>
  <c r="H82" i="1" s="1"/>
  <c r="G83" i="1"/>
  <c r="G84" i="1"/>
  <c r="G85" i="1"/>
  <c r="H85" i="1" s="1"/>
  <c r="G86" i="1"/>
  <c r="H86" i="1" s="1"/>
  <c r="G87" i="1"/>
  <c r="G88" i="1"/>
  <c r="H88" i="1" s="1"/>
  <c r="G89" i="1"/>
  <c r="H89" i="1" s="1"/>
  <c r="G90" i="1"/>
  <c r="H90" i="1" s="1"/>
  <c r="G91" i="1"/>
  <c r="G92" i="1"/>
  <c r="G93" i="1"/>
  <c r="H93" i="1" s="1"/>
  <c r="G94" i="1"/>
  <c r="H94" i="1" s="1"/>
  <c r="G95" i="1"/>
  <c r="G96" i="1"/>
  <c r="H96" i="1" s="1"/>
  <c r="G97" i="1"/>
  <c r="H97" i="1" s="1"/>
  <c r="G98" i="1"/>
  <c r="H98" i="1" s="1"/>
  <c r="G99" i="1"/>
  <c r="G100" i="1"/>
  <c r="G101" i="1"/>
  <c r="H101" i="1" s="1"/>
  <c r="G102" i="1"/>
  <c r="H102" i="1" s="1"/>
  <c r="G103" i="1"/>
  <c r="G104" i="1"/>
  <c r="H104" i="1" s="1"/>
  <c r="G105" i="1"/>
  <c r="H105" i="1" s="1"/>
  <c r="G106" i="1"/>
  <c r="H106" i="1" s="1"/>
  <c r="G107" i="1"/>
  <c r="G108" i="1"/>
  <c r="H108" i="1" s="1"/>
  <c r="G109" i="1"/>
  <c r="H109" i="1" s="1"/>
  <c r="G110" i="1"/>
  <c r="H110" i="1" s="1"/>
  <c r="G111" i="1"/>
  <c r="G112" i="1"/>
  <c r="H112" i="1" s="1"/>
  <c r="G113" i="1"/>
  <c r="H113" i="1" s="1"/>
  <c r="G114" i="1"/>
  <c r="H114" i="1" s="1"/>
  <c r="G115" i="1"/>
  <c r="G116" i="1"/>
  <c r="H116" i="1" s="1"/>
  <c r="G117" i="1"/>
  <c r="H117" i="1" s="1"/>
  <c r="G118" i="1"/>
  <c r="H118" i="1" s="1"/>
  <c r="G119" i="1"/>
  <c r="G120" i="1"/>
  <c r="H120" i="1" s="1"/>
  <c r="G121" i="1"/>
  <c r="H121" i="1" s="1"/>
  <c r="G122" i="1"/>
  <c r="H122" i="1" s="1"/>
  <c r="G123" i="1"/>
  <c r="G124" i="1"/>
  <c r="H124" i="1" s="1"/>
  <c r="G125" i="1"/>
  <c r="H125" i="1" s="1"/>
  <c r="G126" i="1"/>
  <c r="H126" i="1" s="1"/>
  <c r="G127" i="1"/>
  <c r="G128" i="1"/>
  <c r="H128" i="1" s="1"/>
  <c r="G129" i="1"/>
  <c r="H129" i="1" s="1"/>
  <c r="G130" i="1"/>
  <c r="H130" i="1" s="1"/>
  <c r="G131" i="1"/>
  <c r="G132" i="1"/>
  <c r="H132" i="1" s="1"/>
  <c r="G133" i="1"/>
  <c r="G134" i="1"/>
  <c r="H134" i="1" s="1"/>
  <c r="G135" i="1"/>
  <c r="G136" i="1"/>
  <c r="H136" i="1" s="1"/>
  <c r="G137" i="1"/>
  <c r="H137" i="1" s="1"/>
  <c r="G138" i="1"/>
  <c r="H138" i="1" s="1"/>
  <c r="G139" i="1"/>
  <c r="G140" i="1"/>
  <c r="H140" i="1" s="1"/>
  <c r="G141" i="1"/>
  <c r="H141" i="1" s="1"/>
  <c r="G142" i="1"/>
  <c r="G143" i="1"/>
  <c r="G144" i="1"/>
  <c r="H144" i="1" s="1"/>
  <c r="G145" i="1"/>
  <c r="H145" i="1" s="1"/>
  <c r="G146" i="1"/>
  <c r="H146" i="1" s="1"/>
  <c r="G147" i="1"/>
  <c r="G148" i="1"/>
  <c r="H148" i="1" s="1"/>
  <c r="G149" i="1"/>
  <c r="H149" i="1" s="1"/>
  <c r="G150" i="1"/>
  <c r="H150" i="1" s="1"/>
  <c r="G151" i="1"/>
  <c r="G152" i="1"/>
  <c r="H152" i="1" s="1"/>
  <c r="G153" i="1"/>
  <c r="H153" i="1" s="1"/>
  <c r="G154" i="1"/>
  <c r="H154" i="1" s="1"/>
  <c r="G155" i="1"/>
  <c r="G156" i="1"/>
  <c r="H156" i="1" s="1"/>
  <c r="G157" i="1"/>
  <c r="G158" i="1"/>
  <c r="H158" i="1" s="1"/>
  <c r="G159" i="1"/>
  <c r="G160" i="1"/>
  <c r="H160" i="1" s="1"/>
  <c r="G161" i="1"/>
  <c r="H161" i="1" s="1"/>
  <c r="G162" i="1"/>
  <c r="H162" i="1" s="1"/>
  <c r="G163" i="1"/>
  <c r="G164" i="1"/>
  <c r="H164" i="1" s="1"/>
  <c r="G165" i="1"/>
  <c r="H165" i="1" s="1"/>
  <c r="G166" i="1"/>
  <c r="H166" i="1" s="1"/>
  <c r="G167" i="1"/>
  <c r="G168" i="1"/>
  <c r="H168" i="1" s="1"/>
  <c r="G169" i="1"/>
  <c r="H169" i="1" s="1"/>
  <c r="G170" i="1"/>
  <c r="H170" i="1" s="1"/>
  <c r="G171" i="1"/>
  <c r="G172" i="1"/>
  <c r="H172" i="1" s="1"/>
  <c r="G173" i="1"/>
  <c r="H173" i="1" s="1"/>
  <c r="G174" i="1"/>
  <c r="H174" i="1" s="1"/>
  <c r="G175" i="1"/>
  <c r="G176" i="1"/>
  <c r="H176" i="1" s="1"/>
  <c r="G177" i="1"/>
  <c r="H177" i="1" s="1"/>
  <c r="G178" i="1"/>
  <c r="H178" i="1" s="1"/>
  <c r="G179" i="1"/>
  <c r="G180" i="1"/>
  <c r="H180" i="1" s="1"/>
  <c r="G181" i="1"/>
  <c r="G182" i="1"/>
  <c r="H182" i="1" s="1"/>
  <c r="G183" i="1"/>
  <c r="G184" i="1"/>
  <c r="H184" i="1" s="1"/>
  <c r="G185" i="1"/>
  <c r="H185" i="1" s="1"/>
  <c r="G186" i="1"/>
  <c r="H186" i="1" s="1"/>
  <c r="G187" i="1"/>
  <c r="G188" i="1"/>
  <c r="H188" i="1" s="1"/>
  <c r="G189" i="1"/>
  <c r="H189" i="1" s="1"/>
  <c r="G190" i="1"/>
  <c r="H190" i="1" s="1"/>
  <c r="G191" i="1"/>
  <c r="G192" i="1"/>
  <c r="H192" i="1" s="1"/>
  <c r="G193" i="1"/>
  <c r="H193" i="1" s="1"/>
  <c r="G194" i="1"/>
  <c r="H194" i="1" s="1"/>
  <c r="G195" i="1"/>
  <c r="G196" i="1"/>
  <c r="H196" i="1" s="1"/>
  <c r="G197" i="1"/>
  <c r="H197" i="1" s="1"/>
  <c r="G198" i="1"/>
  <c r="H198" i="1" s="1"/>
  <c r="G199" i="1"/>
  <c r="G200" i="1"/>
  <c r="H200" i="1" s="1"/>
  <c r="G201" i="1"/>
  <c r="H201" i="1" s="1"/>
  <c r="G202" i="1"/>
  <c r="H202" i="1" s="1"/>
  <c r="G203" i="1"/>
  <c r="G204" i="1"/>
  <c r="H204" i="1" s="1"/>
  <c r="G205" i="1"/>
  <c r="H205" i="1" s="1"/>
  <c r="G206" i="1"/>
  <c r="H206" i="1" s="1"/>
  <c r="G207" i="1"/>
  <c r="G208" i="1"/>
  <c r="H208" i="1" s="1"/>
  <c r="G209" i="1"/>
  <c r="H209" i="1" s="1"/>
  <c r="G210" i="1"/>
  <c r="H210" i="1" s="1"/>
  <c r="G211" i="1"/>
  <c r="G212" i="1"/>
  <c r="G213" i="1"/>
  <c r="H213" i="1" s="1"/>
  <c r="G214" i="1"/>
  <c r="H214" i="1" s="1"/>
  <c r="G215" i="1"/>
  <c r="G216" i="1"/>
  <c r="H216" i="1" s="1"/>
  <c r="G217" i="1"/>
  <c r="H217" i="1" s="1"/>
  <c r="G218" i="1"/>
  <c r="H218" i="1" s="1"/>
  <c r="G219" i="1"/>
  <c r="G220" i="1"/>
  <c r="H220" i="1" s="1"/>
  <c r="G221" i="1"/>
  <c r="H221" i="1" s="1"/>
  <c r="G222" i="1"/>
  <c r="H222" i="1" s="1"/>
  <c r="G223" i="1"/>
  <c r="G224" i="1"/>
  <c r="H224" i="1" s="1"/>
  <c r="G225" i="1"/>
  <c r="H225" i="1" s="1"/>
  <c r="G226" i="1"/>
  <c r="H226" i="1" s="1"/>
  <c r="G227" i="1"/>
  <c r="G228" i="1"/>
  <c r="H228" i="1" s="1"/>
  <c r="G229" i="1"/>
  <c r="H229" i="1" s="1"/>
  <c r="G230" i="1"/>
  <c r="H230" i="1" s="1"/>
  <c r="G231" i="1"/>
  <c r="G232" i="1"/>
  <c r="H232" i="1" s="1"/>
  <c r="G233" i="1"/>
  <c r="H233" i="1" s="1"/>
  <c r="G234" i="1"/>
  <c r="H234" i="1" s="1"/>
  <c r="G235" i="1"/>
  <c r="G236" i="1"/>
  <c r="H236" i="1" s="1"/>
  <c r="G237" i="1"/>
  <c r="H237" i="1" s="1"/>
  <c r="G238" i="1"/>
  <c r="H238" i="1" s="1"/>
  <c r="G239" i="1"/>
  <c r="G240" i="1"/>
  <c r="H240" i="1" s="1"/>
  <c r="G241" i="1"/>
  <c r="H241" i="1" s="1"/>
  <c r="G242" i="1"/>
  <c r="H242" i="1" s="1"/>
  <c r="G243" i="1"/>
  <c r="G244" i="1"/>
  <c r="H244" i="1" s="1"/>
  <c r="G245" i="1"/>
  <c r="H245" i="1" s="1"/>
  <c r="G246" i="1"/>
  <c r="H246" i="1" s="1"/>
  <c r="G247" i="1"/>
  <c r="G248" i="1"/>
  <c r="H248" i="1" s="1"/>
  <c r="G249" i="1"/>
  <c r="H249" i="1" s="1"/>
  <c r="G250" i="1"/>
  <c r="H250" i="1" s="1"/>
  <c r="G251" i="1"/>
  <c r="G252" i="1"/>
  <c r="H252" i="1" s="1"/>
  <c r="G253" i="1"/>
  <c r="H253" i="1" s="1"/>
  <c r="G254" i="1"/>
  <c r="H254" i="1" s="1"/>
  <c r="G255" i="1"/>
  <c r="G256" i="1"/>
  <c r="H256" i="1" s="1"/>
  <c r="G257" i="1"/>
  <c r="H257" i="1" s="1"/>
  <c r="G258" i="1"/>
  <c r="H258" i="1" s="1"/>
  <c r="G259" i="1"/>
  <c r="G260" i="1"/>
  <c r="H260" i="1" s="1"/>
  <c r="G261" i="1"/>
  <c r="H261" i="1" s="1"/>
  <c r="G262" i="1"/>
  <c r="H262" i="1" s="1"/>
  <c r="G263" i="1"/>
  <c r="G264" i="1"/>
  <c r="H264" i="1" s="1"/>
  <c r="G265" i="1"/>
  <c r="H265" i="1" s="1"/>
  <c r="G266" i="1"/>
  <c r="H266" i="1" s="1"/>
  <c r="G267" i="1"/>
  <c r="G268" i="1"/>
  <c r="H268" i="1" s="1"/>
  <c r="G269" i="1"/>
  <c r="H269" i="1" s="1"/>
  <c r="G270" i="1"/>
  <c r="H270" i="1" s="1"/>
  <c r="G271" i="1"/>
  <c r="G272" i="1"/>
  <c r="H272" i="1" s="1"/>
  <c r="G273" i="1"/>
  <c r="H273" i="1" s="1"/>
  <c r="G274" i="1"/>
  <c r="H274" i="1" s="1"/>
  <c r="G275" i="1"/>
  <c r="G276" i="1"/>
  <c r="G277" i="1"/>
  <c r="H277" i="1" s="1"/>
  <c r="G278" i="1"/>
  <c r="H278" i="1" s="1"/>
  <c r="G279" i="1"/>
  <c r="G280" i="1"/>
  <c r="H280" i="1" s="1"/>
  <c r="G281" i="1"/>
  <c r="H281" i="1" s="1"/>
  <c r="G282" i="1"/>
  <c r="H282" i="1" s="1"/>
  <c r="G283" i="1"/>
  <c r="G284" i="1"/>
  <c r="G285" i="1"/>
  <c r="H285" i="1" s="1"/>
  <c r="G286" i="1"/>
  <c r="H286" i="1" s="1"/>
  <c r="G287" i="1"/>
  <c r="G288" i="1"/>
  <c r="H288" i="1" s="1"/>
  <c r="G289" i="1"/>
  <c r="H289" i="1" s="1"/>
  <c r="G290" i="1"/>
  <c r="H290" i="1" s="1"/>
  <c r="G291" i="1"/>
  <c r="G292" i="1"/>
  <c r="H292" i="1" s="1"/>
  <c r="G293" i="1"/>
  <c r="G294" i="1"/>
  <c r="H294" i="1" s="1"/>
  <c r="G295" i="1"/>
  <c r="G296" i="1"/>
  <c r="H296" i="1" s="1"/>
  <c r="G297" i="1"/>
  <c r="H297" i="1" s="1"/>
  <c r="G298" i="1"/>
  <c r="H298" i="1" s="1"/>
  <c r="G299" i="1"/>
  <c r="G300" i="1"/>
  <c r="G301" i="1"/>
  <c r="H301" i="1" s="1"/>
  <c r="G302" i="1"/>
  <c r="H302" i="1" s="1"/>
  <c r="G303" i="1"/>
  <c r="G304" i="1"/>
  <c r="H304" i="1" s="1"/>
  <c r="G305" i="1"/>
  <c r="H305" i="1" s="1"/>
  <c r="G306" i="1"/>
  <c r="H306" i="1" s="1"/>
  <c r="G307" i="1"/>
  <c r="G308" i="1"/>
  <c r="H308" i="1" s="1"/>
  <c r="G309" i="1"/>
  <c r="H309" i="1" s="1"/>
  <c r="G310" i="1"/>
  <c r="H310" i="1" s="1"/>
  <c r="G311" i="1"/>
  <c r="G312" i="1"/>
  <c r="H312" i="1" s="1"/>
  <c r="G313" i="1"/>
  <c r="H313" i="1" s="1"/>
  <c r="G314" i="1"/>
  <c r="H314" i="1" s="1"/>
  <c r="G315" i="1"/>
  <c r="G316" i="1"/>
  <c r="G317" i="1"/>
  <c r="H317" i="1" s="1"/>
  <c r="G318" i="1"/>
  <c r="H318" i="1" s="1"/>
  <c r="G319" i="1"/>
  <c r="G320" i="1"/>
  <c r="H320" i="1" s="1"/>
  <c r="G321" i="1"/>
  <c r="H321" i="1" s="1"/>
  <c r="G322" i="1"/>
  <c r="H322" i="1" s="1"/>
  <c r="G323" i="1"/>
  <c r="G324" i="1"/>
  <c r="H324" i="1" s="1"/>
  <c r="G325" i="1"/>
  <c r="G326" i="1"/>
  <c r="H326" i="1" s="1"/>
  <c r="G327" i="1"/>
  <c r="G328" i="1"/>
  <c r="H328" i="1" s="1"/>
  <c r="G329" i="1"/>
  <c r="H329" i="1" s="1"/>
  <c r="G330" i="1"/>
  <c r="H330" i="1" s="1"/>
  <c r="G331" i="1"/>
  <c r="G332" i="1"/>
  <c r="H332" i="1" s="1"/>
  <c r="G333" i="1"/>
  <c r="G334" i="1"/>
  <c r="H334" i="1" s="1"/>
  <c r="G335" i="1"/>
  <c r="G336" i="1"/>
  <c r="H336" i="1" s="1"/>
  <c r="G337" i="1"/>
  <c r="H337" i="1" s="1"/>
  <c r="G338" i="1"/>
  <c r="H338" i="1" s="1"/>
  <c r="G339" i="1"/>
  <c r="G340" i="1"/>
  <c r="H340" i="1" s="1"/>
  <c r="G341" i="1"/>
  <c r="H341" i="1" s="1"/>
  <c r="G342" i="1"/>
  <c r="H342" i="1" s="1"/>
  <c r="G343" i="1"/>
  <c r="G344" i="1"/>
  <c r="H344" i="1" s="1"/>
  <c r="G345" i="1"/>
  <c r="H345" i="1" s="1"/>
  <c r="G346" i="1"/>
  <c r="H346" i="1" s="1"/>
  <c r="G347" i="1"/>
  <c r="G348" i="1"/>
  <c r="H348" i="1" s="1"/>
  <c r="G349" i="1"/>
  <c r="H349" i="1" s="1"/>
  <c r="G350" i="1"/>
  <c r="H350" i="1" s="1"/>
  <c r="G351" i="1"/>
  <c r="G352" i="1"/>
  <c r="H352" i="1" s="1"/>
  <c r="G353" i="1"/>
  <c r="H353" i="1" s="1"/>
  <c r="G354" i="1"/>
  <c r="H354" i="1" s="1"/>
  <c r="G355" i="1"/>
  <c r="G356" i="1"/>
  <c r="H356" i="1" s="1"/>
  <c r="G357" i="1"/>
  <c r="H357" i="1" s="1"/>
  <c r="G358" i="1"/>
  <c r="H358" i="1" s="1"/>
  <c r="G359" i="1"/>
  <c r="G360" i="1"/>
  <c r="H360" i="1" s="1"/>
  <c r="G361" i="1"/>
  <c r="H361" i="1" s="1"/>
  <c r="G362" i="1"/>
  <c r="H362" i="1" s="1"/>
  <c r="G363" i="1"/>
  <c r="G364" i="1"/>
  <c r="G365" i="1"/>
  <c r="H365" i="1" s="1"/>
  <c r="G366" i="1"/>
  <c r="H366" i="1" s="1"/>
  <c r="G367" i="1"/>
  <c r="G368" i="1"/>
  <c r="H368" i="1" s="1"/>
  <c r="G369" i="1"/>
  <c r="H369" i="1" s="1"/>
  <c r="G370" i="1"/>
  <c r="H370" i="1" s="1"/>
  <c r="G371" i="1"/>
  <c r="G372" i="1"/>
  <c r="H372" i="1" s="1"/>
  <c r="G373" i="1"/>
  <c r="H373" i="1" s="1"/>
  <c r="G374" i="1"/>
  <c r="H374" i="1" s="1"/>
  <c r="G375" i="1"/>
  <c r="G376" i="1"/>
  <c r="H376" i="1" s="1"/>
  <c r="G377" i="1"/>
  <c r="H377" i="1" s="1"/>
  <c r="G378" i="1"/>
  <c r="H378" i="1" s="1"/>
  <c r="G379" i="1"/>
  <c r="G380" i="1"/>
  <c r="G381" i="1"/>
  <c r="G382" i="1"/>
  <c r="H382" i="1" s="1"/>
  <c r="G383" i="1"/>
  <c r="G384" i="1"/>
  <c r="H384" i="1" s="1"/>
  <c r="G385" i="1"/>
  <c r="H385" i="1" s="1"/>
  <c r="G386" i="1"/>
  <c r="H386" i="1" s="1"/>
  <c r="G387" i="1"/>
  <c r="G388" i="1"/>
  <c r="H388" i="1" s="1"/>
  <c r="G389" i="1"/>
  <c r="H389" i="1" s="1"/>
  <c r="G390" i="1"/>
  <c r="H390" i="1" s="1"/>
  <c r="G391" i="1"/>
  <c r="G392" i="1"/>
  <c r="H392" i="1" s="1"/>
  <c r="G393" i="1"/>
  <c r="H393" i="1" s="1"/>
  <c r="G394" i="1"/>
  <c r="H394" i="1" s="1"/>
  <c r="G395" i="1"/>
  <c r="G396" i="1"/>
  <c r="H396" i="1" s="1"/>
  <c r="G397" i="1"/>
  <c r="H397" i="1" s="1"/>
  <c r="G398" i="1"/>
  <c r="H398" i="1" s="1"/>
  <c r="G399" i="1"/>
  <c r="G400" i="1"/>
  <c r="H400" i="1" s="1"/>
  <c r="G401" i="1"/>
  <c r="H401" i="1" s="1"/>
  <c r="G402" i="1"/>
  <c r="H402" i="1" s="1"/>
  <c r="G403" i="1"/>
  <c r="G404" i="1"/>
  <c r="H404" i="1" s="1"/>
  <c r="G405" i="1"/>
  <c r="H405" i="1" s="1"/>
  <c r="G406" i="1"/>
  <c r="H406" i="1" s="1"/>
  <c r="G407" i="1"/>
  <c r="G408" i="1"/>
  <c r="H408" i="1" s="1"/>
  <c r="G409" i="1"/>
  <c r="H409" i="1" s="1"/>
  <c r="G410" i="1"/>
  <c r="H410" i="1" s="1"/>
  <c r="G411" i="1"/>
  <c r="G412" i="1"/>
  <c r="G413" i="1"/>
  <c r="H413" i="1" s="1"/>
  <c r="G414" i="1"/>
  <c r="H414" i="1" s="1"/>
  <c r="G415" i="1"/>
  <c r="G416" i="1"/>
  <c r="H416" i="1" s="1"/>
  <c r="G417" i="1"/>
  <c r="H417" i="1" s="1"/>
  <c r="G418" i="1"/>
  <c r="H418" i="1" s="1"/>
  <c r="G419" i="1"/>
  <c r="G420" i="1"/>
  <c r="H420" i="1" s="1"/>
  <c r="G421" i="1"/>
  <c r="H421" i="1" s="1"/>
  <c r="G422" i="1"/>
  <c r="H422" i="1" s="1"/>
  <c r="G423" i="1"/>
  <c r="G424" i="1"/>
  <c r="H424" i="1" s="1"/>
  <c r="G425" i="1"/>
  <c r="H425" i="1" s="1"/>
  <c r="G426" i="1"/>
  <c r="H426" i="1" s="1"/>
  <c r="G427" i="1"/>
  <c r="G428" i="1"/>
  <c r="H428" i="1" s="1"/>
  <c r="G429" i="1"/>
  <c r="H429" i="1" s="1"/>
  <c r="G430" i="1"/>
  <c r="H430" i="1" s="1"/>
  <c r="G431" i="1"/>
  <c r="G432" i="1"/>
  <c r="H432" i="1" s="1"/>
  <c r="G433" i="1"/>
  <c r="H433" i="1" s="1"/>
  <c r="G434" i="1"/>
  <c r="H434" i="1" s="1"/>
  <c r="G435" i="1"/>
  <c r="G436" i="1"/>
  <c r="H436" i="1" s="1"/>
  <c r="G437" i="1"/>
  <c r="H437" i="1" s="1"/>
  <c r="G438" i="1"/>
  <c r="H438" i="1" s="1"/>
  <c r="G439" i="1"/>
  <c r="G440" i="1"/>
  <c r="H440" i="1" s="1"/>
  <c r="G441" i="1"/>
  <c r="H441" i="1" s="1"/>
  <c r="G442" i="1"/>
  <c r="H442" i="1" s="1"/>
  <c r="G443" i="1"/>
  <c r="G444" i="1"/>
  <c r="G445" i="1"/>
  <c r="H445" i="1" s="1"/>
  <c r="G446" i="1"/>
  <c r="H446" i="1" s="1"/>
  <c r="G447" i="1"/>
  <c r="G448" i="1"/>
  <c r="H448" i="1" s="1"/>
  <c r="G449" i="1"/>
  <c r="H449" i="1" s="1"/>
  <c r="G450" i="1"/>
  <c r="H450" i="1" s="1"/>
  <c r="G451" i="1"/>
  <c r="G452" i="1"/>
  <c r="H452" i="1" s="1"/>
  <c r="G453" i="1"/>
  <c r="H453" i="1" s="1"/>
  <c r="G454" i="1"/>
  <c r="H454" i="1" s="1"/>
  <c r="G455" i="1"/>
  <c r="G456" i="1"/>
  <c r="H456" i="1" s="1"/>
  <c r="G457" i="1"/>
  <c r="H457" i="1" s="1"/>
  <c r="G458" i="1"/>
  <c r="H458" i="1" s="1"/>
  <c r="G459" i="1"/>
  <c r="G460" i="1"/>
  <c r="G461" i="1"/>
  <c r="H461" i="1" s="1"/>
  <c r="G462" i="1"/>
  <c r="H462" i="1" s="1"/>
  <c r="G463" i="1"/>
  <c r="G464" i="1"/>
  <c r="H464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2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198" i="1"/>
  <c r="B198" i="1"/>
  <c r="C198" i="1"/>
  <c r="D198" i="1"/>
  <c r="A199" i="1"/>
  <c r="B199" i="1"/>
  <c r="C199" i="1"/>
  <c r="D199" i="1"/>
  <c r="A200" i="1"/>
  <c r="B200" i="1"/>
  <c r="C200" i="1"/>
  <c r="D200" i="1"/>
  <c r="A201" i="1"/>
  <c r="B201" i="1"/>
  <c r="C201" i="1"/>
  <c r="D201" i="1"/>
  <c r="A202" i="1"/>
  <c r="B202" i="1"/>
  <c r="C202" i="1"/>
  <c r="D202" i="1"/>
  <c r="A203" i="1"/>
  <c r="B203" i="1"/>
  <c r="C203" i="1"/>
  <c r="D203" i="1"/>
  <c r="A204" i="1"/>
  <c r="B204" i="1"/>
  <c r="C204" i="1"/>
  <c r="D204" i="1"/>
  <c r="A205" i="1"/>
  <c r="B205" i="1"/>
  <c r="C205" i="1"/>
  <c r="D205" i="1"/>
  <c r="A206" i="1"/>
  <c r="B206" i="1"/>
  <c r="C206" i="1"/>
  <c r="D206" i="1"/>
  <c r="A207" i="1"/>
  <c r="B207" i="1"/>
  <c r="C207" i="1"/>
  <c r="D207" i="1"/>
  <c r="A208" i="1"/>
  <c r="B208" i="1"/>
  <c r="C208" i="1"/>
  <c r="D208" i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A213" i="1"/>
  <c r="B213" i="1"/>
  <c r="C213" i="1"/>
  <c r="D213" i="1"/>
  <c r="A214" i="1"/>
  <c r="B214" i="1"/>
  <c r="C214" i="1"/>
  <c r="D214" i="1"/>
  <c r="A215" i="1"/>
  <c r="B215" i="1"/>
  <c r="C215" i="1"/>
  <c r="D215" i="1"/>
  <c r="A216" i="1"/>
  <c r="B216" i="1"/>
  <c r="C216" i="1"/>
  <c r="D216" i="1"/>
  <c r="A217" i="1"/>
  <c r="B217" i="1"/>
  <c r="C217" i="1"/>
  <c r="D217" i="1"/>
  <c r="A218" i="1"/>
  <c r="B218" i="1"/>
  <c r="C218" i="1"/>
  <c r="D218" i="1"/>
  <c r="A219" i="1"/>
  <c r="B219" i="1"/>
  <c r="C219" i="1"/>
  <c r="D219" i="1"/>
  <c r="E219" i="1"/>
  <c r="A220" i="1"/>
  <c r="B220" i="1"/>
  <c r="C220" i="1"/>
  <c r="D220" i="1"/>
  <c r="A221" i="1"/>
  <c r="B221" i="1"/>
  <c r="C221" i="1"/>
  <c r="D221" i="1"/>
  <c r="A222" i="1"/>
  <c r="B222" i="1"/>
  <c r="C222" i="1"/>
  <c r="D222" i="1"/>
  <c r="A223" i="1"/>
  <c r="B223" i="1"/>
  <c r="C223" i="1"/>
  <c r="D223" i="1"/>
  <c r="A224" i="1"/>
  <c r="B224" i="1"/>
  <c r="C224" i="1"/>
  <c r="D224" i="1"/>
  <c r="A225" i="1"/>
  <c r="B225" i="1"/>
  <c r="C225" i="1"/>
  <c r="D225" i="1"/>
  <c r="A226" i="1"/>
  <c r="B226" i="1"/>
  <c r="C226" i="1"/>
  <c r="D226" i="1"/>
  <c r="A227" i="1"/>
  <c r="B227" i="1"/>
  <c r="C227" i="1"/>
  <c r="D227" i="1"/>
  <c r="A228" i="1"/>
  <c r="B228" i="1"/>
  <c r="C228" i="1"/>
  <c r="D228" i="1"/>
  <c r="A229" i="1"/>
  <c r="B229" i="1"/>
  <c r="C229" i="1"/>
  <c r="D229" i="1"/>
  <c r="A230" i="1"/>
  <c r="B230" i="1"/>
  <c r="C230" i="1"/>
  <c r="D230" i="1"/>
  <c r="A231" i="1"/>
  <c r="B231" i="1"/>
  <c r="C231" i="1"/>
  <c r="D231" i="1"/>
  <c r="A232" i="1"/>
  <c r="B232" i="1"/>
  <c r="C232" i="1"/>
  <c r="D232" i="1"/>
  <c r="A233" i="1"/>
  <c r="B233" i="1"/>
  <c r="C233" i="1"/>
  <c r="D233" i="1"/>
  <c r="A234" i="1"/>
  <c r="B234" i="1"/>
  <c r="C234" i="1"/>
  <c r="D234" i="1"/>
  <c r="A235" i="1"/>
  <c r="B235" i="1"/>
  <c r="C235" i="1"/>
  <c r="D235" i="1"/>
  <c r="A236" i="1"/>
  <c r="B236" i="1"/>
  <c r="C236" i="1"/>
  <c r="D236" i="1"/>
  <c r="A237" i="1"/>
  <c r="B237" i="1"/>
  <c r="C237" i="1"/>
  <c r="D237" i="1"/>
  <c r="A238" i="1"/>
  <c r="B238" i="1"/>
  <c r="C238" i="1"/>
  <c r="D238" i="1"/>
  <c r="A239" i="1"/>
  <c r="B239" i="1"/>
  <c r="C239" i="1"/>
  <c r="D239" i="1"/>
  <c r="A240" i="1"/>
  <c r="B240" i="1"/>
  <c r="C240" i="1"/>
  <c r="D240" i="1"/>
  <c r="A241" i="1"/>
  <c r="B241" i="1"/>
  <c r="C241" i="1"/>
  <c r="D241" i="1"/>
  <c r="A242" i="1"/>
  <c r="B242" i="1"/>
  <c r="C242" i="1"/>
  <c r="D242" i="1"/>
  <c r="A243" i="1"/>
  <c r="B243" i="1"/>
  <c r="C243" i="1"/>
  <c r="D243" i="1"/>
  <c r="A244" i="1"/>
  <c r="B244" i="1"/>
  <c r="C244" i="1"/>
  <c r="D244" i="1"/>
  <c r="A245" i="1"/>
  <c r="B245" i="1"/>
  <c r="C245" i="1"/>
  <c r="D245" i="1"/>
  <c r="A246" i="1"/>
  <c r="B246" i="1"/>
  <c r="C246" i="1"/>
  <c r="D246" i="1"/>
  <c r="A247" i="1"/>
  <c r="B247" i="1"/>
  <c r="C247" i="1"/>
  <c r="D247" i="1"/>
  <c r="A248" i="1"/>
  <c r="B248" i="1"/>
  <c r="C248" i="1"/>
  <c r="D248" i="1"/>
  <c r="A249" i="1"/>
  <c r="B249" i="1"/>
  <c r="C249" i="1"/>
  <c r="D249" i="1"/>
  <c r="A250" i="1"/>
  <c r="B250" i="1"/>
  <c r="C250" i="1"/>
  <c r="D250" i="1"/>
  <c r="A251" i="1"/>
  <c r="B251" i="1"/>
  <c r="C251" i="1"/>
  <c r="D251" i="1"/>
  <c r="A252" i="1"/>
  <c r="B252" i="1"/>
  <c r="C252" i="1"/>
  <c r="D252" i="1"/>
  <c r="A253" i="1"/>
  <c r="B253" i="1"/>
  <c r="C253" i="1"/>
  <c r="D253" i="1"/>
  <c r="A254" i="1"/>
  <c r="B254" i="1"/>
  <c r="C254" i="1"/>
  <c r="D254" i="1"/>
  <c r="A255" i="1"/>
  <c r="B255" i="1"/>
  <c r="C255" i="1"/>
  <c r="D255" i="1"/>
  <c r="A256" i="1"/>
  <c r="B256" i="1"/>
  <c r="C256" i="1"/>
  <c r="D256" i="1"/>
  <c r="A257" i="1"/>
  <c r="B257" i="1"/>
  <c r="C257" i="1"/>
  <c r="D257" i="1"/>
  <c r="A258" i="1"/>
  <c r="B258" i="1"/>
  <c r="C258" i="1"/>
  <c r="D258" i="1"/>
  <c r="A259" i="1"/>
  <c r="B259" i="1"/>
  <c r="C259" i="1"/>
  <c r="D259" i="1"/>
  <c r="A260" i="1"/>
  <c r="B260" i="1"/>
  <c r="C260" i="1"/>
  <c r="D260" i="1"/>
  <c r="A261" i="1"/>
  <c r="B261" i="1"/>
  <c r="C261" i="1"/>
  <c r="D261" i="1"/>
  <c r="A262" i="1"/>
  <c r="B262" i="1"/>
  <c r="C262" i="1"/>
  <c r="D262" i="1"/>
  <c r="A263" i="1"/>
  <c r="B263" i="1"/>
  <c r="C263" i="1"/>
  <c r="D263" i="1"/>
  <c r="A264" i="1"/>
  <c r="B264" i="1"/>
  <c r="C264" i="1"/>
  <c r="D264" i="1"/>
  <c r="A265" i="1"/>
  <c r="B265" i="1"/>
  <c r="C265" i="1"/>
  <c r="D265" i="1"/>
  <c r="A266" i="1"/>
  <c r="B266" i="1"/>
  <c r="C266" i="1"/>
  <c r="D266" i="1"/>
  <c r="A267" i="1"/>
  <c r="B267" i="1"/>
  <c r="C267" i="1"/>
  <c r="D267" i="1"/>
  <c r="A268" i="1"/>
  <c r="B268" i="1"/>
  <c r="C268" i="1"/>
  <c r="D268" i="1"/>
  <c r="A269" i="1"/>
  <c r="B269" i="1"/>
  <c r="C269" i="1"/>
  <c r="D269" i="1"/>
  <c r="A270" i="1"/>
  <c r="B270" i="1"/>
  <c r="C270" i="1"/>
  <c r="D270" i="1"/>
  <c r="A271" i="1"/>
  <c r="B271" i="1"/>
  <c r="C271" i="1"/>
  <c r="D271" i="1"/>
  <c r="A272" i="1"/>
  <c r="B272" i="1"/>
  <c r="C272" i="1"/>
  <c r="D272" i="1"/>
  <c r="A273" i="1"/>
  <c r="B273" i="1"/>
  <c r="C273" i="1"/>
  <c r="D273" i="1"/>
  <c r="A274" i="1"/>
  <c r="B274" i="1"/>
  <c r="C274" i="1"/>
  <c r="D274" i="1"/>
  <c r="A275" i="1"/>
  <c r="B275" i="1"/>
  <c r="C275" i="1"/>
  <c r="D275" i="1"/>
  <c r="A276" i="1"/>
  <c r="B276" i="1"/>
  <c r="C276" i="1"/>
  <c r="D276" i="1"/>
  <c r="A277" i="1"/>
  <c r="B277" i="1"/>
  <c r="C277" i="1"/>
  <c r="D277" i="1"/>
  <c r="A278" i="1"/>
  <c r="B278" i="1"/>
  <c r="C278" i="1"/>
  <c r="D278" i="1"/>
  <c r="A279" i="1"/>
  <c r="B279" i="1"/>
  <c r="C279" i="1"/>
  <c r="D279" i="1"/>
  <c r="A280" i="1"/>
  <c r="B280" i="1"/>
  <c r="C280" i="1"/>
  <c r="D280" i="1"/>
  <c r="A281" i="1"/>
  <c r="B281" i="1"/>
  <c r="C281" i="1"/>
  <c r="D281" i="1"/>
  <c r="A282" i="1"/>
  <c r="B282" i="1"/>
  <c r="C282" i="1"/>
  <c r="D282" i="1"/>
  <c r="A283" i="1"/>
  <c r="B283" i="1"/>
  <c r="C283" i="1"/>
  <c r="D283" i="1"/>
  <c r="A284" i="1"/>
  <c r="B284" i="1"/>
  <c r="C284" i="1"/>
  <c r="D284" i="1"/>
  <c r="A285" i="1"/>
  <c r="B285" i="1"/>
  <c r="C285" i="1"/>
  <c r="D285" i="1"/>
  <c r="A286" i="1"/>
  <c r="B286" i="1"/>
  <c r="C286" i="1"/>
  <c r="D286" i="1"/>
  <c r="A287" i="1"/>
  <c r="B287" i="1"/>
  <c r="C287" i="1"/>
  <c r="D287" i="1"/>
  <c r="A288" i="1"/>
  <c r="B288" i="1"/>
  <c r="C288" i="1"/>
  <c r="D288" i="1"/>
  <c r="A289" i="1"/>
  <c r="B289" i="1"/>
  <c r="C289" i="1"/>
  <c r="D289" i="1"/>
  <c r="A290" i="1"/>
  <c r="B290" i="1"/>
  <c r="C290" i="1"/>
  <c r="D290" i="1"/>
  <c r="A291" i="1"/>
  <c r="B291" i="1"/>
  <c r="C291" i="1"/>
  <c r="D291" i="1"/>
  <c r="A292" i="1"/>
  <c r="B292" i="1"/>
  <c r="C292" i="1"/>
  <c r="D292" i="1"/>
  <c r="A293" i="1"/>
  <c r="B293" i="1"/>
  <c r="C293" i="1"/>
  <c r="D293" i="1"/>
  <c r="A294" i="1"/>
  <c r="B294" i="1"/>
  <c r="C294" i="1"/>
  <c r="D294" i="1"/>
  <c r="A295" i="1"/>
  <c r="B295" i="1"/>
  <c r="C295" i="1"/>
  <c r="D295" i="1"/>
  <c r="A296" i="1"/>
  <c r="B296" i="1"/>
  <c r="C296" i="1"/>
  <c r="D296" i="1"/>
  <c r="A297" i="1"/>
  <c r="B297" i="1"/>
  <c r="C297" i="1"/>
  <c r="D297" i="1"/>
  <c r="A298" i="1"/>
  <c r="B298" i="1"/>
  <c r="C298" i="1"/>
  <c r="D298" i="1"/>
  <c r="A299" i="1"/>
  <c r="B299" i="1"/>
  <c r="C299" i="1"/>
  <c r="D299" i="1"/>
  <c r="A300" i="1"/>
  <c r="B300" i="1"/>
  <c r="C300" i="1"/>
  <c r="D300" i="1"/>
  <c r="A301" i="1"/>
  <c r="B301" i="1"/>
  <c r="C301" i="1"/>
  <c r="D301" i="1"/>
  <c r="A302" i="1"/>
  <c r="B302" i="1"/>
  <c r="C302" i="1"/>
  <c r="D302" i="1"/>
  <c r="A303" i="1"/>
  <c r="B303" i="1"/>
  <c r="C303" i="1"/>
  <c r="D303" i="1"/>
  <c r="A304" i="1"/>
  <c r="B304" i="1"/>
  <c r="C304" i="1"/>
  <c r="D304" i="1"/>
  <c r="A305" i="1"/>
  <c r="B305" i="1"/>
  <c r="C305" i="1"/>
  <c r="D305" i="1"/>
  <c r="A306" i="1"/>
  <c r="B306" i="1"/>
  <c r="C306" i="1"/>
  <c r="D306" i="1"/>
  <c r="A307" i="1"/>
  <c r="B307" i="1"/>
  <c r="C307" i="1"/>
  <c r="D307" i="1"/>
  <c r="A308" i="1"/>
  <c r="B308" i="1"/>
  <c r="C308" i="1"/>
  <c r="D308" i="1"/>
  <c r="A309" i="1"/>
  <c r="B309" i="1"/>
  <c r="C309" i="1"/>
  <c r="D309" i="1"/>
  <c r="A310" i="1"/>
  <c r="B310" i="1"/>
  <c r="C310" i="1"/>
  <c r="D310" i="1"/>
  <c r="A311" i="1"/>
  <c r="B311" i="1"/>
  <c r="C311" i="1"/>
  <c r="D311" i="1"/>
  <c r="A312" i="1"/>
  <c r="B312" i="1"/>
  <c r="C312" i="1"/>
  <c r="D312" i="1"/>
  <c r="A313" i="1"/>
  <c r="B313" i="1"/>
  <c r="C313" i="1"/>
  <c r="D313" i="1"/>
  <c r="A314" i="1"/>
  <c r="B314" i="1"/>
  <c r="C314" i="1"/>
  <c r="D314" i="1"/>
  <c r="A315" i="1"/>
  <c r="B315" i="1"/>
  <c r="C315" i="1"/>
  <c r="D315" i="1"/>
  <c r="A316" i="1"/>
  <c r="B316" i="1"/>
  <c r="C316" i="1"/>
  <c r="D316" i="1"/>
  <c r="A317" i="1"/>
  <c r="B317" i="1"/>
  <c r="C317" i="1"/>
  <c r="D317" i="1"/>
  <c r="A318" i="1"/>
  <c r="B318" i="1"/>
  <c r="C318" i="1"/>
  <c r="D318" i="1"/>
  <c r="A319" i="1"/>
  <c r="B319" i="1"/>
  <c r="C319" i="1"/>
  <c r="D319" i="1"/>
  <c r="A320" i="1"/>
  <c r="B320" i="1"/>
  <c r="C320" i="1"/>
  <c r="D320" i="1"/>
  <c r="A321" i="1"/>
  <c r="B321" i="1"/>
  <c r="C321" i="1"/>
  <c r="D321" i="1"/>
  <c r="A322" i="1"/>
  <c r="B322" i="1"/>
  <c r="C322" i="1"/>
  <c r="D322" i="1"/>
  <c r="A323" i="1"/>
  <c r="B323" i="1"/>
  <c r="C323" i="1"/>
  <c r="D323" i="1"/>
  <c r="A324" i="1"/>
  <c r="B324" i="1"/>
  <c r="C324" i="1"/>
  <c r="D324" i="1"/>
  <c r="A325" i="1"/>
  <c r="B325" i="1"/>
  <c r="C325" i="1"/>
  <c r="D325" i="1"/>
  <c r="A326" i="1"/>
  <c r="B326" i="1"/>
  <c r="C326" i="1"/>
  <c r="D326" i="1"/>
  <c r="A327" i="1"/>
  <c r="B327" i="1"/>
  <c r="C327" i="1"/>
  <c r="D327" i="1"/>
  <c r="A328" i="1"/>
  <c r="B328" i="1"/>
  <c r="C328" i="1"/>
  <c r="D328" i="1"/>
  <c r="A329" i="1"/>
  <c r="B329" i="1"/>
  <c r="C329" i="1"/>
  <c r="D329" i="1"/>
  <c r="A330" i="1"/>
  <c r="B330" i="1"/>
  <c r="C330" i="1"/>
  <c r="D330" i="1"/>
  <c r="A331" i="1"/>
  <c r="B331" i="1"/>
  <c r="C331" i="1"/>
  <c r="D331" i="1"/>
  <c r="A332" i="1"/>
  <c r="B332" i="1"/>
  <c r="C332" i="1"/>
  <c r="D332" i="1"/>
  <c r="A333" i="1"/>
  <c r="B333" i="1"/>
  <c r="C333" i="1"/>
  <c r="D333" i="1"/>
  <c r="A334" i="1"/>
  <c r="B334" i="1"/>
  <c r="C334" i="1"/>
  <c r="D334" i="1"/>
  <c r="A335" i="1"/>
  <c r="B335" i="1"/>
  <c r="C335" i="1"/>
  <c r="D335" i="1"/>
  <c r="A336" i="1"/>
  <c r="B336" i="1"/>
  <c r="C336" i="1"/>
  <c r="D336" i="1"/>
  <c r="A337" i="1"/>
  <c r="B337" i="1"/>
  <c r="C337" i="1"/>
  <c r="D337" i="1"/>
  <c r="A338" i="1"/>
  <c r="B338" i="1"/>
  <c r="C338" i="1"/>
  <c r="D338" i="1"/>
  <c r="A339" i="1"/>
  <c r="B339" i="1"/>
  <c r="C339" i="1"/>
  <c r="D339" i="1"/>
  <c r="A340" i="1"/>
  <c r="B340" i="1"/>
  <c r="C340" i="1"/>
  <c r="D340" i="1"/>
  <c r="A341" i="1"/>
  <c r="B341" i="1"/>
  <c r="C341" i="1"/>
  <c r="D341" i="1"/>
  <c r="A342" i="1"/>
  <c r="B342" i="1"/>
  <c r="C342" i="1"/>
  <c r="D342" i="1"/>
  <c r="A343" i="1"/>
  <c r="B343" i="1"/>
  <c r="C343" i="1"/>
  <c r="D343" i="1"/>
  <c r="A344" i="1"/>
  <c r="B344" i="1"/>
  <c r="C344" i="1"/>
  <c r="D344" i="1"/>
  <c r="A345" i="1"/>
  <c r="B345" i="1"/>
  <c r="C345" i="1"/>
  <c r="D345" i="1"/>
  <c r="A346" i="1"/>
  <c r="B346" i="1"/>
  <c r="C346" i="1"/>
  <c r="D346" i="1"/>
  <c r="A347" i="1"/>
  <c r="B347" i="1"/>
  <c r="C347" i="1"/>
  <c r="D347" i="1"/>
  <c r="A348" i="1"/>
  <c r="B348" i="1"/>
  <c r="C348" i="1"/>
  <c r="D348" i="1"/>
  <c r="A349" i="1"/>
  <c r="B349" i="1"/>
  <c r="C349" i="1"/>
  <c r="D349" i="1"/>
  <c r="A350" i="1"/>
  <c r="B350" i="1"/>
  <c r="C350" i="1"/>
  <c r="D350" i="1"/>
  <c r="A351" i="1"/>
  <c r="B351" i="1"/>
  <c r="C351" i="1"/>
  <c r="D351" i="1"/>
  <c r="A352" i="1"/>
  <c r="B352" i="1"/>
  <c r="C352" i="1"/>
  <c r="D352" i="1"/>
  <c r="A353" i="1"/>
  <c r="B353" i="1"/>
  <c r="C353" i="1"/>
  <c r="D353" i="1"/>
  <c r="A354" i="1"/>
  <c r="B354" i="1"/>
  <c r="C354" i="1"/>
  <c r="D354" i="1"/>
  <c r="A355" i="1"/>
  <c r="B355" i="1"/>
  <c r="C355" i="1"/>
  <c r="D355" i="1"/>
  <c r="A356" i="1"/>
  <c r="B356" i="1"/>
  <c r="C356" i="1"/>
  <c r="D356" i="1"/>
  <c r="A357" i="1"/>
  <c r="B357" i="1"/>
  <c r="C357" i="1"/>
  <c r="D357" i="1"/>
  <c r="A358" i="1"/>
  <c r="B358" i="1"/>
  <c r="C358" i="1"/>
  <c r="D358" i="1"/>
  <c r="A359" i="1"/>
  <c r="B359" i="1"/>
  <c r="C359" i="1"/>
  <c r="D359" i="1"/>
  <c r="A360" i="1"/>
  <c r="B360" i="1"/>
  <c r="C360" i="1"/>
  <c r="D360" i="1"/>
  <c r="A361" i="1"/>
  <c r="B361" i="1"/>
  <c r="C361" i="1"/>
  <c r="D361" i="1"/>
  <c r="A362" i="1"/>
  <c r="B362" i="1"/>
  <c r="C362" i="1"/>
  <c r="D362" i="1"/>
  <c r="A363" i="1"/>
  <c r="B363" i="1"/>
  <c r="C363" i="1"/>
  <c r="D363" i="1"/>
  <c r="A364" i="1"/>
  <c r="B364" i="1"/>
  <c r="C364" i="1"/>
  <c r="D364" i="1"/>
  <c r="A365" i="1"/>
  <c r="B365" i="1"/>
  <c r="C365" i="1"/>
  <c r="D365" i="1"/>
  <c r="A366" i="1"/>
  <c r="B366" i="1"/>
  <c r="C366" i="1"/>
  <c r="D366" i="1"/>
  <c r="A367" i="1"/>
  <c r="B367" i="1"/>
  <c r="C367" i="1"/>
  <c r="D367" i="1"/>
  <c r="A368" i="1"/>
  <c r="B368" i="1"/>
  <c r="C368" i="1"/>
  <c r="D368" i="1"/>
  <c r="A369" i="1"/>
  <c r="B369" i="1"/>
  <c r="C369" i="1"/>
  <c r="D369" i="1"/>
  <c r="A370" i="1"/>
  <c r="B370" i="1"/>
  <c r="C370" i="1"/>
  <c r="D370" i="1"/>
  <c r="A371" i="1"/>
  <c r="B371" i="1"/>
  <c r="C371" i="1"/>
  <c r="D371" i="1"/>
  <c r="A372" i="1"/>
  <c r="B372" i="1"/>
  <c r="C372" i="1"/>
  <c r="D372" i="1"/>
  <c r="A373" i="1"/>
  <c r="B373" i="1"/>
  <c r="C373" i="1"/>
  <c r="D373" i="1"/>
  <c r="A374" i="1"/>
  <c r="B374" i="1"/>
  <c r="C374" i="1"/>
  <c r="D374" i="1"/>
  <c r="A375" i="1"/>
  <c r="B375" i="1"/>
  <c r="C375" i="1"/>
  <c r="D375" i="1"/>
  <c r="A376" i="1"/>
  <c r="B376" i="1"/>
  <c r="C376" i="1"/>
  <c r="D376" i="1"/>
  <c r="A377" i="1"/>
  <c r="B377" i="1"/>
  <c r="C377" i="1"/>
  <c r="D377" i="1"/>
  <c r="A378" i="1"/>
  <c r="B378" i="1"/>
  <c r="C378" i="1"/>
  <c r="D378" i="1"/>
  <c r="A379" i="1"/>
  <c r="B379" i="1"/>
  <c r="C379" i="1"/>
  <c r="D379" i="1"/>
  <c r="A380" i="1"/>
  <c r="B380" i="1"/>
  <c r="C380" i="1"/>
  <c r="D380" i="1"/>
  <c r="A381" i="1"/>
  <c r="B381" i="1"/>
  <c r="C381" i="1"/>
  <c r="D381" i="1"/>
  <c r="A382" i="1"/>
  <c r="B382" i="1"/>
  <c r="C382" i="1"/>
  <c r="D382" i="1"/>
  <c r="A383" i="1"/>
  <c r="B383" i="1"/>
  <c r="C383" i="1"/>
  <c r="D383" i="1"/>
  <c r="A384" i="1"/>
  <c r="B384" i="1"/>
  <c r="C384" i="1"/>
  <c r="D384" i="1"/>
  <c r="A385" i="1"/>
  <c r="B385" i="1"/>
  <c r="C385" i="1"/>
  <c r="D385" i="1"/>
  <c r="A386" i="1"/>
  <c r="B386" i="1"/>
  <c r="C386" i="1"/>
  <c r="D386" i="1"/>
  <c r="A387" i="1"/>
  <c r="B387" i="1"/>
  <c r="C387" i="1"/>
  <c r="D387" i="1"/>
  <c r="A388" i="1"/>
  <c r="B388" i="1"/>
  <c r="C388" i="1"/>
  <c r="D388" i="1"/>
  <c r="A389" i="1"/>
  <c r="B389" i="1"/>
  <c r="C389" i="1"/>
  <c r="D389" i="1"/>
  <c r="A390" i="1"/>
  <c r="B390" i="1"/>
  <c r="C390" i="1"/>
  <c r="D390" i="1"/>
  <c r="A391" i="1"/>
  <c r="B391" i="1"/>
  <c r="C391" i="1"/>
  <c r="D391" i="1"/>
  <c r="A392" i="1"/>
  <c r="B392" i="1"/>
  <c r="C392" i="1"/>
  <c r="D392" i="1"/>
  <c r="A393" i="1"/>
  <c r="B393" i="1"/>
  <c r="C393" i="1"/>
  <c r="D393" i="1"/>
  <c r="A394" i="1"/>
  <c r="B394" i="1"/>
  <c r="C394" i="1"/>
  <c r="D394" i="1"/>
  <c r="A395" i="1"/>
  <c r="B395" i="1"/>
  <c r="C395" i="1"/>
  <c r="D395" i="1"/>
  <c r="A396" i="1"/>
  <c r="B396" i="1"/>
  <c r="C396" i="1"/>
  <c r="D396" i="1"/>
  <c r="A397" i="1"/>
  <c r="B397" i="1"/>
  <c r="C397" i="1"/>
  <c r="D397" i="1"/>
  <c r="A398" i="1"/>
  <c r="B398" i="1"/>
  <c r="C398" i="1"/>
  <c r="D398" i="1"/>
  <c r="A399" i="1"/>
  <c r="B399" i="1"/>
  <c r="C399" i="1"/>
  <c r="D399" i="1"/>
  <c r="A400" i="1"/>
  <c r="B400" i="1"/>
  <c r="C400" i="1"/>
  <c r="D400" i="1"/>
  <c r="A401" i="1"/>
  <c r="B401" i="1"/>
  <c r="C401" i="1"/>
  <c r="D401" i="1"/>
  <c r="A402" i="1"/>
  <c r="B402" i="1"/>
  <c r="C402" i="1"/>
  <c r="D402" i="1"/>
  <c r="A403" i="1"/>
  <c r="B403" i="1"/>
  <c r="C403" i="1"/>
  <c r="D403" i="1"/>
  <c r="A404" i="1"/>
  <c r="B404" i="1"/>
  <c r="C404" i="1"/>
  <c r="D404" i="1"/>
  <c r="A405" i="1"/>
  <c r="B405" i="1"/>
  <c r="C405" i="1"/>
  <c r="D405" i="1"/>
  <c r="A406" i="1"/>
  <c r="B406" i="1"/>
  <c r="C406" i="1"/>
  <c r="D406" i="1"/>
  <c r="A407" i="1"/>
  <c r="B407" i="1"/>
  <c r="C407" i="1"/>
  <c r="D407" i="1"/>
  <c r="A408" i="1"/>
  <c r="B408" i="1"/>
  <c r="C408" i="1"/>
  <c r="D408" i="1"/>
  <c r="A409" i="1"/>
  <c r="B409" i="1"/>
  <c r="C409" i="1"/>
  <c r="D409" i="1"/>
  <c r="A410" i="1"/>
  <c r="B410" i="1"/>
  <c r="C410" i="1"/>
  <c r="D410" i="1"/>
  <c r="A411" i="1"/>
  <c r="B411" i="1"/>
  <c r="C411" i="1"/>
  <c r="D411" i="1"/>
  <c r="A412" i="1"/>
  <c r="B412" i="1"/>
  <c r="C412" i="1"/>
  <c r="D412" i="1"/>
  <c r="A413" i="1"/>
  <c r="B413" i="1"/>
  <c r="C413" i="1"/>
  <c r="D413" i="1"/>
  <c r="A414" i="1"/>
  <c r="B414" i="1"/>
  <c r="C414" i="1"/>
  <c r="D414" i="1"/>
  <c r="A415" i="1"/>
  <c r="B415" i="1"/>
  <c r="C415" i="1"/>
  <c r="D415" i="1"/>
  <c r="A416" i="1"/>
  <c r="B416" i="1"/>
  <c r="C416" i="1"/>
  <c r="D416" i="1"/>
  <c r="A417" i="1"/>
  <c r="B417" i="1"/>
  <c r="C417" i="1"/>
  <c r="D417" i="1"/>
  <c r="A418" i="1"/>
  <c r="B418" i="1"/>
  <c r="C418" i="1"/>
  <c r="D418" i="1"/>
  <c r="A419" i="1"/>
  <c r="B419" i="1"/>
  <c r="C419" i="1"/>
  <c r="D419" i="1"/>
  <c r="E419" i="1"/>
  <c r="A420" i="1"/>
  <c r="B420" i="1"/>
  <c r="C420" i="1"/>
  <c r="D420" i="1"/>
  <c r="A421" i="1"/>
  <c r="B421" i="1"/>
  <c r="C421" i="1"/>
  <c r="D421" i="1"/>
  <c r="A422" i="1"/>
  <c r="B422" i="1"/>
  <c r="C422" i="1"/>
  <c r="D422" i="1"/>
  <c r="A423" i="1"/>
  <c r="B423" i="1"/>
  <c r="C423" i="1"/>
  <c r="D423" i="1"/>
  <c r="A424" i="1"/>
  <c r="B424" i="1"/>
  <c r="C424" i="1"/>
  <c r="D424" i="1"/>
  <c r="A425" i="1"/>
  <c r="B425" i="1"/>
  <c r="C425" i="1"/>
  <c r="D425" i="1"/>
  <c r="A426" i="1"/>
  <c r="B426" i="1"/>
  <c r="C426" i="1"/>
  <c r="D426" i="1"/>
  <c r="A427" i="1"/>
  <c r="B427" i="1"/>
  <c r="C427" i="1"/>
  <c r="D427" i="1"/>
  <c r="A428" i="1"/>
  <c r="B428" i="1"/>
  <c r="C428" i="1"/>
  <c r="D428" i="1"/>
  <c r="A429" i="1"/>
  <c r="B429" i="1"/>
  <c r="C429" i="1"/>
  <c r="D429" i="1"/>
  <c r="A430" i="1"/>
  <c r="B430" i="1"/>
  <c r="C430" i="1"/>
  <c r="D430" i="1"/>
  <c r="A431" i="1"/>
  <c r="B431" i="1"/>
  <c r="C431" i="1"/>
  <c r="D431" i="1"/>
  <c r="A432" i="1"/>
  <c r="B432" i="1"/>
  <c r="C432" i="1"/>
  <c r="D432" i="1"/>
  <c r="A433" i="1"/>
  <c r="B433" i="1"/>
  <c r="C433" i="1"/>
  <c r="D433" i="1"/>
  <c r="A434" i="1"/>
  <c r="B434" i="1"/>
  <c r="C434" i="1"/>
  <c r="D434" i="1"/>
  <c r="A435" i="1"/>
  <c r="B435" i="1"/>
  <c r="C435" i="1"/>
  <c r="D435" i="1"/>
  <c r="A436" i="1"/>
  <c r="B436" i="1"/>
  <c r="C436" i="1"/>
  <c r="D436" i="1"/>
  <c r="A437" i="1"/>
  <c r="B437" i="1"/>
  <c r="C437" i="1"/>
  <c r="D437" i="1"/>
  <c r="A438" i="1"/>
  <c r="B438" i="1"/>
  <c r="C438" i="1"/>
  <c r="D438" i="1"/>
  <c r="A439" i="1"/>
  <c r="B439" i="1"/>
  <c r="C439" i="1"/>
  <c r="D439" i="1"/>
  <c r="A440" i="1"/>
  <c r="B440" i="1"/>
  <c r="C440" i="1"/>
  <c r="D440" i="1"/>
  <c r="A441" i="1"/>
  <c r="B441" i="1"/>
  <c r="C441" i="1"/>
  <c r="D441" i="1"/>
  <c r="A442" i="1"/>
  <c r="B442" i="1"/>
  <c r="C442" i="1"/>
  <c r="D442" i="1"/>
  <c r="A443" i="1"/>
  <c r="B443" i="1"/>
  <c r="C443" i="1"/>
  <c r="D443" i="1"/>
  <c r="A444" i="1"/>
  <c r="B444" i="1"/>
  <c r="C444" i="1"/>
  <c r="D444" i="1"/>
  <c r="A445" i="1"/>
  <c r="B445" i="1"/>
  <c r="C445" i="1"/>
  <c r="D445" i="1"/>
  <c r="A446" i="1"/>
  <c r="B446" i="1"/>
  <c r="C446" i="1"/>
  <c r="D446" i="1"/>
  <c r="A447" i="1"/>
  <c r="B447" i="1"/>
  <c r="C447" i="1"/>
  <c r="D447" i="1"/>
  <c r="A448" i="1"/>
  <c r="B448" i="1"/>
  <c r="C448" i="1"/>
  <c r="D448" i="1"/>
  <c r="A449" i="1"/>
  <c r="B449" i="1"/>
  <c r="C449" i="1"/>
  <c r="D449" i="1"/>
  <c r="A450" i="1"/>
  <c r="B450" i="1"/>
  <c r="C450" i="1"/>
  <c r="D450" i="1"/>
  <c r="A451" i="1"/>
  <c r="B451" i="1"/>
  <c r="C451" i="1"/>
  <c r="D451" i="1"/>
  <c r="A452" i="1"/>
  <c r="B452" i="1"/>
  <c r="C452" i="1"/>
  <c r="D452" i="1"/>
  <c r="A453" i="1"/>
  <c r="B453" i="1"/>
  <c r="C453" i="1"/>
  <c r="D453" i="1"/>
  <c r="A454" i="1"/>
  <c r="B454" i="1"/>
  <c r="C454" i="1"/>
  <c r="D454" i="1"/>
  <c r="A455" i="1"/>
  <c r="B455" i="1"/>
  <c r="C455" i="1"/>
  <c r="D455" i="1"/>
  <c r="A456" i="1"/>
  <c r="B456" i="1"/>
  <c r="C456" i="1"/>
  <c r="D456" i="1"/>
  <c r="A457" i="1"/>
  <c r="B457" i="1"/>
  <c r="C457" i="1"/>
  <c r="D457" i="1"/>
  <c r="A458" i="1"/>
  <c r="B458" i="1"/>
  <c r="C458" i="1"/>
  <c r="D458" i="1"/>
  <c r="A459" i="1"/>
  <c r="B459" i="1"/>
  <c r="C459" i="1"/>
  <c r="D459" i="1"/>
  <c r="A460" i="1"/>
  <c r="B460" i="1"/>
  <c r="C460" i="1"/>
  <c r="D460" i="1"/>
  <c r="A461" i="1"/>
  <c r="B461" i="1"/>
  <c r="C461" i="1"/>
  <c r="D461" i="1"/>
  <c r="A462" i="1"/>
  <c r="B462" i="1"/>
  <c r="C462" i="1"/>
  <c r="D462" i="1"/>
  <c r="A463" i="1"/>
  <c r="B463" i="1"/>
  <c r="C463" i="1"/>
  <c r="D463" i="1"/>
  <c r="A464" i="1"/>
  <c r="B464" i="1"/>
  <c r="C464" i="1"/>
  <c r="D464" i="1"/>
  <c r="K2" i="1"/>
  <c r="L2" i="1"/>
  <c r="J2" i="1"/>
  <c r="G2" i="1"/>
  <c r="H2" i="1" s="1"/>
  <c r="B2" i="1"/>
  <c r="C2" i="1"/>
  <c r="D2" i="1"/>
  <c r="A2" i="1"/>
  <c r="G3" i="4"/>
  <c r="E3" i="1" s="1"/>
  <c r="G4" i="4"/>
  <c r="E4" i="1" s="1"/>
  <c r="G5" i="4"/>
  <c r="E5" i="1" s="1"/>
  <c r="G6" i="4"/>
  <c r="E6" i="1" s="1"/>
  <c r="G7" i="4"/>
  <c r="E7" i="1" s="1"/>
  <c r="G8" i="4"/>
  <c r="E8" i="1" s="1"/>
  <c r="G9" i="4"/>
  <c r="E9" i="1" s="1"/>
  <c r="G10" i="4"/>
  <c r="E10" i="1" s="1"/>
  <c r="G11" i="4"/>
  <c r="E11" i="1" s="1"/>
  <c r="G12" i="4"/>
  <c r="E12" i="1" s="1"/>
  <c r="G13" i="4"/>
  <c r="E13" i="1" s="1"/>
  <c r="G14" i="4"/>
  <c r="E14" i="1" s="1"/>
  <c r="G15" i="4"/>
  <c r="E15" i="1" s="1"/>
  <c r="G16" i="4"/>
  <c r="E16" i="1" s="1"/>
  <c r="G17" i="4"/>
  <c r="E17" i="1" s="1"/>
  <c r="G18" i="4"/>
  <c r="E18" i="1" s="1"/>
  <c r="G19" i="4"/>
  <c r="E19" i="1" s="1"/>
  <c r="G20" i="4"/>
  <c r="E20" i="1" s="1"/>
  <c r="G21" i="4"/>
  <c r="E21" i="1" s="1"/>
  <c r="G22" i="4"/>
  <c r="E22" i="1" s="1"/>
  <c r="G23" i="4"/>
  <c r="E23" i="1" s="1"/>
  <c r="G24" i="4"/>
  <c r="E24" i="1" s="1"/>
  <c r="G25" i="4"/>
  <c r="E25" i="1" s="1"/>
  <c r="G26" i="4"/>
  <c r="E26" i="1" s="1"/>
  <c r="G27" i="4"/>
  <c r="E27" i="1" s="1"/>
  <c r="G28" i="4"/>
  <c r="E28" i="1" s="1"/>
  <c r="G29" i="4"/>
  <c r="E29" i="1" s="1"/>
  <c r="G30" i="4"/>
  <c r="E30" i="1" s="1"/>
  <c r="G31" i="4"/>
  <c r="E31" i="1" s="1"/>
  <c r="G32" i="4"/>
  <c r="E32" i="1" s="1"/>
  <c r="G33" i="4"/>
  <c r="E33" i="1" s="1"/>
  <c r="G34" i="4"/>
  <c r="E34" i="1" s="1"/>
  <c r="G35" i="4"/>
  <c r="E35" i="1" s="1"/>
  <c r="G36" i="4"/>
  <c r="E36" i="1" s="1"/>
  <c r="G37" i="4"/>
  <c r="E37" i="1" s="1"/>
  <c r="G38" i="4"/>
  <c r="E38" i="1" s="1"/>
  <c r="G39" i="4"/>
  <c r="E39" i="1" s="1"/>
  <c r="G40" i="4"/>
  <c r="E40" i="1" s="1"/>
  <c r="G41" i="4"/>
  <c r="E41" i="1" s="1"/>
  <c r="G42" i="4"/>
  <c r="E42" i="1" s="1"/>
  <c r="G43" i="4"/>
  <c r="E43" i="1" s="1"/>
  <c r="G44" i="4"/>
  <c r="E44" i="1" s="1"/>
  <c r="G45" i="4"/>
  <c r="E45" i="1" s="1"/>
  <c r="G46" i="4"/>
  <c r="E46" i="1" s="1"/>
  <c r="G47" i="4"/>
  <c r="E47" i="1" s="1"/>
  <c r="G48" i="4"/>
  <c r="E48" i="1" s="1"/>
  <c r="G49" i="4"/>
  <c r="E49" i="1" s="1"/>
  <c r="G50" i="4"/>
  <c r="E50" i="1" s="1"/>
  <c r="G51" i="4"/>
  <c r="E51" i="1" s="1"/>
  <c r="G52" i="4"/>
  <c r="E52" i="1" s="1"/>
  <c r="G53" i="4"/>
  <c r="E53" i="1" s="1"/>
  <c r="G54" i="4"/>
  <c r="E54" i="1" s="1"/>
  <c r="G55" i="4"/>
  <c r="E55" i="1" s="1"/>
  <c r="G56" i="4"/>
  <c r="E56" i="1" s="1"/>
  <c r="G57" i="4"/>
  <c r="E57" i="1" s="1"/>
  <c r="G58" i="4"/>
  <c r="E58" i="1" s="1"/>
  <c r="G59" i="4"/>
  <c r="E59" i="1" s="1"/>
  <c r="G60" i="4"/>
  <c r="E60" i="1" s="1"/>
  <c r="G61" i="4"/>
  <c r="E61" i="1" s="1"/>
  <c r="G62" i="4"/>
  <c r="E62" i="1" s="1"/>
  <c r="G63" i="4"/>
  <c r="E63" i="1" s="1"/>
  <c r="G64" i="4"/>
  <c r="E64" i="1" s="1"/>
  <c r="G65" i="4"/>
  <c r="E65" i="1" s="1"/>
  <c r="G66" i="4"/>
  <c r="E66" i="1" s="1"/>
  <c r="G67" i="4"/>
  <c r="E67" i="1" s="1"/>
  <c r="G68" i="4"/>
  <c r="E68" i="1" s="1"/>
  <c r="G69" i="4"/>
  <c r="E69" i="1" s="1"/>
  <c r="G70" i="4"/>
  <c r="E70" i="1" s="1"/>
  <c r="G71" i="4"/>
  <c r="E71" i="1" s="1"/>
  <c r="G72" i="4"/>
  <c r="E72" i="1" s="1"/>
  <c r="G73" i="4"/>
  <c r="E73" i="1" s="1"/>
  <c r="G74" i="4"/>
  <c r="E74" i="1" s="1"/>
  <c r="G75" i="4"/>
  <c r="E75" i="1" s="1"/>
  <c r="G76" i="4"/>
  <c r="E76" i="1" s="1"/>
  <c r="G77" i="4"/>
  <c r="E77" i="1" s="1"/>
  <c r="G78" i="4"/>
  <c r="E78" i="1" s="1"/>
  <c r="G79" i="4"/>
  <c r="E79" i="1" s="1"/>
  <c r="G80" i="4"/>
  <c r="E80" i="1" s="1"/>
  <c r="G81" i="4"/>
  <c r="E81" i="1" s="1"/>
  <c r="G82" i="4"/>
  <c r="E82" i="1" s="1"/>
  <c r="G83" i="4"/>
  <c r="E83" i="1" s="1"/>
  <c r="G84" i="4"/>
  <c r="E84" i="1" s="1"/>
  <c r="G85" i="4"/>
  <c r="E85" i="1" s="1"/>
  <c r="G86" i="4"/>
  <c r="E86" i="1" s="1"/>
  <c r="G87" i="4"/>
  <c r="E87" i="1" s="1"/>
  <c r="G88" i="4"/>
  <c r="E88" i="1" s="1"/>
  <c r="G89" i="4"/>
  <c r="E89" i="1" s="1"/>
  <c r="G90" i="4"/>
  <c r="E90" i="1" s="1"/>
  <c r="G91" i="4"/>
  <c r="E91" i="1" s="1"/>
  <c r="G92" i="4"/>
  <c r="E92" i="1" s="1"/>
  <c r="G93" i="4"/>
  <c r="E93" i="1" s="1"/>
  <c r="G94" i="4"/>
  <c r="E94" i="1" s="1"/>
  <c r="G95" i="4"/>
  <c r="E95" i="1" s="1"/>
  <c r="G96" i="4"/>
  <c r="E96" i="1" s="1"/>
  <c r="G97" i="4"/>
  <c r="E97" i="1" s="1"/>
  <c r="G98" i="4"/>
  <c r="E98" i="1" s="1"/>
  <c r="G99" i="4"/>
  <c r="E99" i="1" s="1"/>
  <c r="G100" i="4"/>
  <c r="E100" i="1" s="1"/>
  <c r="G101" i="4"/>
  <c r="E101" i="1" s="1"/>
  <c r="G102" i="4"/>
  <c r="E102" i="1" s="1"/>
  <c r="G103" i="4"/>
  <c r="E103" i="1" s="1"/>
  <c r="G104" i="4"/>
  <c r="E104" i="1" s="1"/>
  <c r="G105" i="4"/>
  <c r="E105" i="1" s="1"/>
  <c r="G106" i="4"/>
  <c r="E106" i="1" s="1"/>
  <c r="G107" i="4"/>
  <c r="E107" i="1" s="1"/>
  <c r="G108" i="4"/>
  <c r="E108" i="1" s="1"/>
  <c r="G109" i="4"/>
  <c r="E109" i="1" s="1"/>
  <c r="G110" i="4"/>
  <c r="E110" i="1" s="1"/>
  <c r="G111" i="4"/>
  <c r="E111" i="1" s="1"/>
  <c r="G112" i="4"/>
  <c r="E112" i="1" s="1"/>
  <c r="G113" i="4"/>
  <c r="E113" i="1" s="1"/>
  <c r="G114" i="4"/>
  <c r="E114" i="1" s="1"/>
  <c r="G115" i="4"/>
  <c r="E115" i="1" s="1"/>
  <c r="G116" i="4"/>
  <c r="E116" i="1" s="1"/>
  <c r="G117" i="4"/>
  <c r="E117" i="1" s="1"/>
  <c r="G118" i="4"/>
  <c r="E118" i="1" s="1"/>
  <c r="G119" i="4"/>
  <c r="E119" i="1" s="1"/>
  <c r="G120" i="4"/>
  <c r="E120" i="1" s="1"/>
  <c r="G121" i="4"/>
  <c r="E121" i="1" s="1"/>
  <c r="G122" i="4"/>
  <c r="E122" i="1" s="1"/>
  <c r="G123" i="4"/>
  <c r="E123" i="1" s="1"/>
  <c r="G124" i="4"/>
  <c r="E124" i="1" s="1"/>
  <c r="G125" i="4"/>
  <c r="E125" i="1" s="1"/>
  <c r="G126" i="4"/>
  <c r="E126" i="1" s="1"/>
  <c r="G127" i="4"/>
  <c r="E127" i="1" s="1"/>
  <c r="G128" i="4"/>
  <c r="E128" i="1" s="1"/>
  <c r="G129" i="4"/>
  <c r="E129" i="1" s="1"/>
  <c r="G130" i="4"/>
  <c r="E130" i="1" s="1"/>
  <c r="G131" i="4"/>
  <c r="E131" i="1" s="1"/>
  <c r="G132" i="4"/>
  <c r="E132" i="1" s="1"/>
  <c r="G133" i="4"/>
  <c r="E133" i="1" s="1"/>
  <c r="G134" i="4"/>
  <c r="E134" i="1" s="1"/>
  <c r="G135" i="4"/>
  <c r="E135" i="1" s="1"/>
  <c r="G136" i="4"/>
  <c r="E136" i="1" s="1"/>
  <c r="G137" i="4"/>
  <c r="E137" i="1" s="1"/>
  <c r="G138" i="4"/>
  <c r="E138" i="1" s="1"/>
  <c r="G139" i="4"/>
  <c r="E139" i="1" s="1"/>
  <c r="G140" i="4"/>
  <c r="E140" i="1" s="1"/>
  <c r="G141" i="4"/>
  <c r="E141" i="1" s="1"/>
  <c r="G142" i="4"/>
  <c r="E142" i="1" s="1"/>
  <c r="G143" i="4"/>
  <c r="E143" i="1" s="1"/>
  <c r="G144" i="4"/>
  <c r="E144" i="1" s="1"/>
  <c r="G145" i="4"/>
  <c r="E145" i="1" s="1"/>
  <c r="G146" i="4"/>
  <c r="E146" i="1" s="1"/>
  <c r="G147" i="4"/>
  <c r="E147" i="1" s="1"/>
  <c r="G148" i="4"/>
  <c r="E148" i="1" s="1"/>
  <c r="G149" i="4"/>
  <c r="E149" i="1" s="1"/>
  <c r="G150" i="4"/>
  <c r="E150" i="1" s="1"/>
  <c r="G151" i="4"/>
  <c r="E151" i="1" s="1"/>
  <c r="G152" i="4"/>
  <c r="E152" i="1" s="1"/>
  <c r="G153" i="4"/>
  <c r="E153" i="1" s="1"/>
  <c r="G154" i="4"/>
  <c r="E154" i="1" s="1"/>
  <c r="G155" i="4"/>
  <c r="E155" i="1" s="1"/>
  <c r="G156" i="4"/>
  <c r="E156" i="1" s="1"/>
  <c r="G157" i="4"/>
  <c r="E157" i="1" s="1"/>
  <c r="G158" i="4"/>
  <c r="E158" i="1" s="1"/>
  <c r="G159" i="4"/>
  <c r="E159" i="1" s="1"/>
  <c r="G160" i="4"/>
  <c r="E160" i="1" s="1"/>
  <c r="G161" i="4"/>
  <c r="E161" i="1" s="1"/>
  <c r="G162" i="4"/>
  <c r="E162" i="1" s="1"/>
  <c r="G163" i="4"/>
  <c r="E163" i="1" s="1"/>
  <c r="G164" i="4"/>
  <c r="E164" i="1" s="1"/>
  <c r="G165" i="4"/>
  <c r="E165" i="1" s="1"/>
  <c r="G166" i="4"/>
  <c r="E166" i="1" s="1"/>
  <c r="G167" i="4"/>
  <c r="E167" i="1" s="1"/>
  <c r="G168" i="4"/>
  <c r="E168" i="1" s="1"/>
  <c r="G169" i="4"/>
  <c r="E169" i="1" s="1"/>
  <c r="G170" i="4"/>
  <c r="E170" i="1" s="1"/>
  <c r="G171" i="4"/>
  <c r="E171" i="1" s="1"/>
  <c r="G172" i="4"/>
  <c r="E172" i="1" s="1"/>
  <c r="G173" i="4"/>
  <c r="E173" i="1" s="1"/>
  <c r="G174" i="4"/>
  <c r="E174" i="1" s="1"/>
  <c r="G175" i="4"/>
  <c r="E175" i="1" s="1"/>
  <c r="G176" i="4"/>
  <c r="E176" i="1" s="1"/>
  <c r="G177" i="4"/>
  <c r="E177" i="1" s="1"/>
  <c r="G178" i="4"/>
  <c r="E178" i="1" s="1"/>
  <c r="G179" i="4"/>
  <c r="E179" i="1" s="1"/>
  <c r="G180" i="4"/>
  <c r="E180" i="1" s="1"/>
  <c r="G181" i="4"/>
  <c r="E181" i="1" s="1"/>
  <c r="G182" i="4"/>
  <c r="E182" i="1" s="1"/>
  <c r="G183" i="4"/>
  <c r="E183" i="1" s="1"/>
  <c r="G184" i="4"/>
  <c r="E184" i="1" s="1"/>
  <c r="G185" i="4"/>
  <c r="E185" i="1" s="1"/>
  <c r="G186" i="4"/>
  <c r="E186" i="1" s="1"/>
  <c r="G187" i="4"/>
  <c r="E187" i="1" s="1"/>
  <c r="G188" i="4"/>
  <c r="E188" i="1" s="1"/>
  <c r="G189" i="4"/>
  <c r="E189" i="1" s="1"/>
  <c r="G190" i="4"/>
  <c r="E190" i="1" s="1"/>
  <c r="G191" i="4"/>
  <c r="E191" i="1" s="1"/>
  <c r="G192" i="4"/>
  <c r="E192" i="1" s="1"/>
  <c r="G193" i="4"/>
  <c r="E193" i="1" s="1"/>
  <c r="G194" i="4"/>
  <c r="E194" i="1" s="1"/>
  <c r="G195" i="4"/>
  <c r="E195" i="1" s="1"/>
  <c r="G196" i="4"/>
  <c r="E196" i="1" s="1"/>
  <c r="G197" i="4"/>
  <c r="E197" i="1" s="1"/>
  <c r="G198" i="4"/>
  <c r="E198" i="1" s="1"/>
  <c r="G199" i="4"/>
  <c r="E199" i="1" s="1"/>
  <c r="G200" i="4"/>
  <c r="E200" i="1" s="1"/>
  <c r="G201" i="4"/>
  <c r="E201" i="1" s="1"/>
  <c r="G202" i="4"/>
  <c r="E202" i="1" s="1"/>
  <c r="G203" i="4"/>
  <c r="E203" i="1" s="1"/>
  <c r="G204" i="4"/>
  <c r="E204" i="1" s="1"/>
  <c r="G205" i="4"/>
  <c r="E205" i="1" s="1"/>
  <c r="G206" i="4"/>
  <c r="E206" i="1" s="1"/>
  <c r="G207" i="4"/>
  <c r="E207" i="1" s="1"/>
  <c r="G208" i="4"/>
  <c r="E208" i="1" s="1"/>
  <c r="G209" i="4"/>
  <c r="E209" i="1" s="1"/>
  <c r="G210" i="4"/>
  <c r="E210" i="1" s="1"/>
  <c r="G211" i="4"/>
  <c r="E211" i="1" s="1"/>
  <c r="G212" i="4"/>
  <c r="E212" i="1" s="1"/>
  <c r="G213" i="4"/>
  <c r="E213" i="1" s="1"/>
  <c r="G214" i="4"/>
  <c r="E214" i="1" s="1"/>
  <c r="G215" i="4"/>
  <c r="E215" i="1" s="1"/>
  <c r="G216" i="4"/>
  <c r="E216" i="1" s="1"/>
  <c r="G217" i="4"/>
  <c r="E217" i="1" s="1"/>
  <c r="G218" i="4"/>
  <c r="E218" i="1" s="1"/>
  <c r="G219" i="4"/>
  <c r="G220" i="4"/>
  <c r="E220" i="1" s="1"/>
  <c r="G221" i="4"/>
  <c r="E221" i="1" s="1"/>
  <c r="G222" i="4"/>
  <c r="E222" i="1" s="1"/>
  <c r="G223" i="4"/>
  <c r="E223" i="1" s="1"/>
  <c r="G224" i="4"/>
  <c r="E224" i="1" s="1"/>
  <c r="G225" i="4"/>
  <c r="E225" i="1" s="1"/>
  <c r="G226" i="4"/>
  <c r="E226" i="1" s="1"/>
  <c r="G227" i="4"/>
  <c r="E227" i="1" s="1"/>
  <c r="G228" i="4"/>
  <c r="E228" i="1" s="1"/>
  <c r="G229" i="4"/>
  <c r="E229" i="1" s="1"/>
  <c r="G230" i="4"/>
  <c r="E230" i="1" s="1"/>
  <c r="G231" i="4"/>
  <c r="E231" i="1" s="1"/>
  <c r="G232" i="4"/>
  <c r="E232" i="1" s="1"/>
  <c r="G233" i="4"/>
  <c r="E233" i="1" s="1"/>
  <c r="G234" i="4"/>
  <c r="E234" i="1" s="1"/>
  <c r="G235" i="4"/>
  <c r="E235" i="1" s="1"/>
  <c r="G236" i="4"/>
  <c r="E236" i="1" s="1"/>
  <c r="G237" i="4"/>
  <c r="E237" i="1" s="1"/>
  <c r="G238" i="4"/>
  <c r="E238" i="1" s="1"/>
  <c r="G239" i="4"/>
  <c r="E239" i="1" s="1"/>
  <c r="G240" i="4"/>
  <c r="E240" i="1" s="1"/>
  <c r="G241" i="4"/>
  <c r="E241" i="1" s="1"/>
  <c r="G242" i="4"/>
  <c r="E242" i="1" s="1"/>
  <c r="G243" i="4"/>
  <c r="E243" i="1" s="1"/>
  <c r="G244" i="4"/>
  <c r="E244" i="1" s="1"/>
  <c r="G245" i="4"/>
  <c r="E245" i="1" s="1"/>
  <c r="G246" i="4"/>
  <c r="E246" i="1" s="1"/>
  <c r="G247" i="4"/>
  <c r="E247" i="1" s="1"/>
  <c r="G248" i="4"/>
  <c r="E248" i="1" s="1"/>
  <c r="G249" i="4"/>
  <c r="E249" i="1" s="1"/>
  <c r="G250" i="4"/>
  <c r="E250" i="1" s="1"/>
  <c r="G251" i="4"/>
  <c r="E251" i="1" s="1"/>
  <c r="G252" i="4"/>
  <c r="E252" i="1" s="1"/>
  <c r="G253" i="4"/>
  <c r="E253" i="1" s="1"/>
  <c r="G254" i="4"/>
  <c r="E254" i="1" s="1"/>
  <c r="G255" i="4"/>
  <c r="E255" i="1" s="1"/>
  <c r="G256" i="4"/>
  <c r="E256" i="1" s="1"/>
  <c r="G257" i="4"/>
  <c r="E257" i="1" s="1"/>
  <c r="G258" i="4"/>
  <c r="E258" i="1" s="1"/>
  <c r="G259" i="4"/>
  <c r="E259" i="1" s="1"/>
  <c r="G260" i="4"/>
  <c r="E260" i="1" s="1"/>
  <c r="G261" i="4"/>
  <c r="E261" i="1" s="1"/>
  <c r="G262" i="4"/>
  <c r="E262" i="1" s="1"/>
  <c r="G263" i="4"/>
  <c r="E263" i="1" s="1"/>
  <c r="G264" i="4"/>
  <c r="E264" i="1" s="1"/>
  <c r="G265" i="4"/>
  <c r="E265" i="1" s="1"/>
  <c r="G266" i="4"/>
  <c r="E266" i="1" s="1"/>
  <c r="G267" i="4"/>
  <c r="E267" i="1" s="1"/>
  <c r="G268" i="4"/>
  <c r="E268" i="1" s="1"/>
  <c r="G269" i="4"/>
  <c r="E269" i="1" s="1"/>
  <c r="G270" i="4"/>
  <c r="E270" i="1" s="1"/>
  <c r="G271" i="4"/>
  <c r="E271" i="1" s="1"/>
  <c r="G272" i="4"/>
  <c r="E272" i="1" s="1"/>
  <c r="G273" i="4"/>
  <c r="E273" i="1" s="1"/>
  <c r="G274" i="4"/>
  <c r="E274" i="1" s="1"/>
  <c r="G275" i="4"/>
  <c r="E275" i="1" s="1"/>
  <c r="G276" i="4"/>
  <c r="E276" i="1" s="1"/>
  <c r="G277" i="4"/>
  <c r="E277" i="1" s="1"/>
  <c r="G278" i="4"/>
  <c r="E278" i="1" s="1"/>
  <c r="G279" i="4"/>
  <c r="E279" i="1" s="1"/>
  <c r="G280" i="4"/>
  <c r="E280" i="1" s="1"/>
  <c r="G281" i="4"/>
  <c r="E281" i="1" s="1"/>
  <c r="G282" i="4"/>
  <c r="E282" i="1" s="1"/>
  <c r="G283" i="4"/>
  <c r="E283" i="1" s="1"/>
  <c r="G284" i="4"/>
  <c r="E284" i="1" s="1"/>
  <c r="G285" i="4"/>
  <c r="E285" i="1" s="1"/>
  <c r="G286" i="4"/>
  <c r="E286" i="1" s="1"/>
  <c r="G287" i="4"/>
  <c r="E287" i="1" s="1"/>
  <c r="G288" i="4"/>
  <c r="E288" i="1" s="1"/>
  <c r="G289" i="4"/>
  <c r="E289" i="1" s="1"/>
  <c r="G290" i="4"/>
  <c r="E290" i="1" s="1"/>
  <c r="G291" i="4"/>
  <c r="E291" i="1" s="1"/>
  <c r="G292" i="4"/>
  <c r="E292" i="1" s="1"/>
  <c r="G293" i="4"/>
  <c r="E293" i="1" s="1"/>
  <c r="G294" i="4"/>
  <c r="E294" i="1" s="1"/>
  <c r="G295" i="4"/>
  <c r="E295" i="1" s="1"/>
  <c r="G296" i="4"/>
  <c r="E296" i="1" s="1"/>
  <c r="G297" i="4"/>
  <c r="E297" i="1" s="1"/>
  <c r="G298" i="4"/>
  <c r="E298" i="1" s="1"/>
  <c r="G299" i="4"/>
  <c r="E299" i="1" s="1"/>
  <c r="G300" i="4"/>
  <c r="E300" i="1" s="1"/>
  <c r="G301" i="4"/>
  <c r="E301" i="1" s="1"/>
  <c r="G302" i="4"/>
  <c r="E302" i="1" s="1"/>
  <c r="G303" i="4"/>
  <c r="E303" i="1" s="1"/>
  <c r="G304" i="4"/>
  <c r="E304" i="1" s="1"/>
  <c r="G305" i="4"/>
  <c r="E305" i="1" s="1"/>
  <c r="G306" i="4"/>
  <c r="E306" i="1" s="1"/>
  <c r="G307" i="4"/>
  <c r="E307" i="1" s="1"/>
  <c r="G308" i="4"/>
  <c r="E308" i="1" s="1"/>
  <c r="G309" i="4"/>
  <c r="E309" i="1" s="1"/>
  <c r="G310" i="4"/>
  <c r="E310" i="1" s="1"/>
  <c r="G311" i="4"/>
  <c r="E311" i="1" s="1"/>
  <c r="G312" i="4"/>
  <c r="E312" i="1" s="1"/>
  <c r="G313" i="4"/>
  <c r="E313" i="1" s="1"/>
  <c r="G314" i="4"/>
  <c r="E314" i="1" s="1"/>
  <c r="G315" i="4"/>
  <c r="E315" i="1" s="1"/>
  <c r="G316" i="4"/>
  <c r="E316" i="1" s="1"/>
  <c r="G317" i="4"/>
  <c r="E317" i="1" s="1"/>
  <c r="G318" i="4"/>
  <c r="E318" i="1" s="1"/>
  <c r="G319" i="4"/>
  <c r="E319" i="1" s="1"/>
  <c r="G320" i="4"/>
  <c r="E320" i="1" s="1"/>
  <c r="G321" i="4"/>
  <c r="E321" i="1" s="1"/>
  <c r="G322" i="4"/>
  <c r="E322" i="1" s="1"/>
  <c r="G323" i="4"/>
  <c r="E323" i="1" s="1"/>
  <c r="G324" i="4"/>
  <c r="E324" i="1" s="1"/>
  <c r="G325" i="4"/>
  <c r="E325" i="1" s="1"/>
  <c r="G326" i="4"/>
  <c r="E326" i="1" s="1"/>
  <c r="G327" i="4"/>
  <c r="E327" i="1" s="1"/>
  <c r="G328" i="4"/>
  <c r="E328" i="1" s="1"/>
  <c r="G329" i="4"/>
  <c r="E329" i="1" s="1"/>
  <c r="G330" i="4"/>
  <c r="E330" i="1" s="1"/>
  <c r="G331" i="4"/>
  <c r="E331" i="1" s="1"/>
  <c r="G332" i="4"/>
  <c r="E332" i="1" s="1"/>
  <c r="G333" i="4"/>
  <c r="E333" i="1" s="1"/>
  <c r="G334" i="4"/>
  <c r="E334" i="1" s="1"/>
  <c r="G335" i="4"/>
  <c r="E335" i="1" s="1"/>
  <c r="G336" i="4"/>
  <c r="E336" i="1" s="1"/>
  <c r="G337" i="4"/>
  <c r="E337" i="1" s="1"/>
  <c r="G338" i="4"/>
  <c r="E338" i="1" s="1"/>
  <c r="G339" i="4"/>
  <c r="E339" i="1" s="1"/>
  <c r="G340" i="4"/>
  <c r="E340" i="1" s="1"/>
  <c r="G341" i="4"/>
  <c r="E341" i="1" s="1"/>
  <c r="G342" i="4"/>
  <c r="E342" i="1" s="1"/>
  <c r="G343" i="4"/>
  <c r="E343" i="1" s="1"/>
  <c r="G344" i="4"/>
  <c r="E344" i="1" s="1"/>
  <c r="G345" i="4"/>
  <c r="E345" i="1" s="1"/>
  <c r="G346" i="4"/>
  <c r="E346" i="1" s="1"/>
  <c r="G347" i="4"/>
  <c r="E347" i="1" s="1"/>
  <c r="G348" i="4"/>
  <c r="E348" i="1" s="1"/>
  <c r="G349" i="4"/>
  <c r="E349" i="1" s="1"/>
  <c r="G350" i="4"/>
  <c r="E350" i="1" s="1"/>
  <c r="G351" i="4"/>
  <c r="E351" i="1" s="1"/>
  <c r="G352" i="4"/>
  <c r="E352" i="1" s="1"/>
  <c r="G353" i="4"/>
  <c r="E353" i="1" s="1"/>
  <c r="G354" i="4"/>
  <c r="E354" i="1" s="1"/>
  <c r="G355" i="4"/>
  <c r="E355" i="1" s="1"/>
  <c r="G356" i="4"/>
  <c r="E356" i="1" s="1"/>
  <c r="G357" i="4"/>
  <c r="E357" i="1" s="1"/>
  <c r="G358" i="4"/>
  <c r="E358" i="1" s="1"/>
  <c r="G359" i="4"/>
  <c r="E359" i="1" s="1"/>
  <c r="G360" i="4"/>
  <c r="E360" i="1" s="1"/>
  <c r="G361" i="4"/>
  <c r="E361" i="1" s="1"/>
  <c r="G362" i="4"/>
  <c r="E362" i="1" s="1"/>
  <c r="G363" i="4"/>
  <c r="E363" i="1" s="1"/>
  <c r="G364" i="4"/>
  <c r="E364" i="1" s="1"/>
  <c r="G365" i="4"/>
  <c r="E365" i="1" s="1"/>
  <c r="G366" i="4"/>
  <c r="E366" i="1" s="1"/>
  <c r="G367" i="4"/>
  <c r="E367" i="1" s="1"/>
  <c r="G368" i="4"/>
  <c r="E368" i="1" s="1"/>
  <c r="G369" i="4"/>
  <c r="E369" i="1" s="1"/>
  <c r="G370" i="4"/>
  <c r="E370" i="1" s="1"/>
  <c r="G371" i="4"/>
  <c r="E371" i="1" s="1"/>
  <c r="G372" i="4"/>
  <c r="E372" i="1" s="1"/>
  <c r="G373" i="4"/>
  <c r="E373" i="1" s="1"/>
  <c r="G374" i="4"/>
  <c r="E374" i="1" s="1"/>
  <c r="G375" i="4"/>
  <c r="E375" i="1" s="1"/>
  <c r="G376" i="4"/>
  <c r="E376" i="1" s="1"/>
  <c r="G377" i="4"/>
  <c r="E377" i="1" s="1"/>
  <c r="G378" i="4"/>
  <c r="E378" i="1" s="1"/>
  <c r="G379" i="4"/>
  <c r="E379" i="1" s="1"/>
  <c r="G380" i="4"/>
  <c r="E380" i="1" s="1"/>
  <c r="G381" i="4"/>
  <c r="E381" i="1" s="1"/>
  <c r="G382" i="4"/>
  <c r="E382" i="1" s="1"/>
  <c r="G383" i="4"/>
  <c r="E383" i="1" s="1"/>
  <c r="G384" i="4"/>
  <c r="E384" i="1" s="1"/>
  <c r="G385" i="4"/>
  <c r="E385" i="1" s="1"/>
  <c r="G386" i="4"/>
  <c r="E386" i="1" s="1"/>
  <c r="G387" i="4"/>
  <c r="E387" i="1" s="1"/>
  <c r="G388" i="4"/>
  <c r="E388" i="1" s="1"/>
  <c r="G389" i="4"/>
  <c r="E389" i="1" s="1"/>
  <c r="G390" i="4"/>
  <c r="E390" i="1" s="1"/>
  <c r="G391" i="4"/>
  <c r="E391" i="1" s="1"/>
  <c r="G392" i="4"/>
  <c r="E392" i="1" s="1"/>
  <c r="G393" i="4"/>
  <c r="E393" i="1" s="1"/>
  <c r="G394" i="4"/>
  <c r="E394" i="1" s="1"/>
  <c r="G395" i="4"/>
  <c r="E395" i="1" s="1"/>
  <c r="G396" i="4"/>
  <c r="E396" i="1" s="1"/>
  <c r="G397" i="4"/>
  <c r="E397" i="1" s="1"/>
  <c r="G398" i="4"/>
  <c r="E398" i="1" s="1"/>
  <c r="G399" i="4"/>
  <c r="E399" i="1" s="1"/>
  <c r="G400" i="4"/>
  <c r="E400" i="1" s="1"/>
  <c r="G401" i="4"/>
  <c r="E401" i="1" s="1"/>
  <c r="G402" i="4"/>
  <c r="E402" i="1" s="1"/>
  <c r="G403" i="4"/>
  <c r="E403" i="1" s="1"/>
  <c r="G404" i="4"/>
  <c r="E404" i="1" s="1"/>
  <c r="G405" i="4"/>
  <c r="E405" i="1" s="1"/>
  <c r="G406" i="4"/>
  <c r="E406" i="1" s="1"/>
  <c r="G407" i="4"/>
  <c r="E407" i="1" s="1"/>
  <c r="G408" i="4"/>
  <c r="E408" i="1" s="1"/>
  <c r="G409" i="4"/>
  <c r="E409" i="1" s="1"/>
  <c r="G410" i="4"/>
  <c r="E410" i="1" s="1"/>
  <c r="G411" i="4"/>
  <c r="E411" i="1" s="1"/>
  <c r="G412" i="4"/>
  <c r="E412" i="1" s="1"/>
  <c r="G413" i="4"/>
  <c r="E413" i="1" s="1"/>
  <c r="G414" i="4"/>
  <c r="E414" i="1" s="1"/>
  <c r="G415" i="4"/>
  <c r="E415" i="1" s="1"/>
  <c r="G416" i="4"/>
  <c r="E416" i="1" s="1"/>
  <c r="G417" i="4"/>
  <c r="E417" i="1" s="1"/>
  <c r="G418" i="4"/>
  <c r="E418" i="1" s="1"/>
  <c r="G419" i="4"/>
  <c r="G420" i="4"/>
  <c r="E420" i="1" s="1"/>
  <c r="G421" i="4"/>
  <c r="E421" i="1" s="1"/>
  <c r="G422" i="4"/>
  <c r="E422" i="1" s="1"/>
  <c r="G423" i="4"/>
  <c r="E423" i="1" s="1"/>
  <c r="G424" i="4"/>
  <c r="E424" i="1" s="1"/>
  <c r="G425" i="4"/>
  <c r="E425" i="1" s="1"/>
  <c r="G426" i="4"/>
  <c r="E426" i="1" s="1"/>
  <c r="G427" i="4"/>
  <c r="E427" i="1" s="1"/>
  <c r="G428" i="4"/>
  <c r="E428" i="1" s="1"/>
  <c r="G429" i="4"/>
  <c r="E429" i="1" s="1"/>
  <c r="G430" i="4"/>
  <c r="E430" i="1" s="1"/>
  <c r="G431" i="4"/>
  <c r="E431" i="1" s="1"/>
  <c r="G432" i="4"/>
  <c r="E432" i="1" s="1"/>
  <c r="G433" i="4"/>
  <c r="E433" i="1" s="1"/>
  <c r="G434" i="4"/>
  <c r="E434" i="1" s="1"/>
  <c r="G435" i="4"/>
  <c r="E435" i="1" s="1"/>
  <c r="G436" i="4"/>
  <c r="E436" i="1" s="1"/>
  <c r="G437" i="4"/>
  <c r="E437" i="1" s="1"/>
  <c r="G438" i="4"/>
  <c r="E438" i="1" s="1"/>
  <c r="G439" i="4"/>
  <c r="E439" i="1" s="1"/>
  <c r="G440" i="4"/>
  <c r="E440" i="1" s="1"/>
  <c r="G441" i="4"/>
  <c r="E441" i="1" s="1"/>
  <c r="G442" i="4"/>
  <c r="E442" i="1" s="1"/>
  <c r="G443" i="4"/>
  <c r="E443" i="1" s="1"/>
  <c r="G444" i="4"/>
  <c r="E444" i="1" s="1"/>
  <c r="G445" i="4"/>
  <c r="E445" i="1" s="1"/>
  <c r="G446" i="4"/>
  <c r="E446" i="1" s="1"/>
  <c r="G447" i="4"/>
  <c r="E447" i="1" s="1"/>
  <c r="G448" i="4"/>
  <c r="E448" i="1" s="1"/>
  <c r="G449" i="4"/>
  <c r="E449" i="1" s="1"/>
  <c r="G450" i="4"/>
  <c r="E450" i="1" s="1"/>
  <c r="G451" i="4"/>
  <c r="E451" i="1" s="1"/>
  <c r="G452" i="4"/>
  <c r="E452" i="1" s="1"/>
  <c r="G453" i="4"/>
  <c r="E453" i="1" s="1"/>
  <c r="G454" i="4"/>
  <c r="E454" i="1" s="1"/>
  <c r="G455" i="4"/>
  <c r="E455" i="1" s="1"/>
  <c r="G456" i="4"/>
  <c r="E456" i="1" s="1"/>
  <c r="G457" i="4"/>
  <c r="E457" i="1" s="1"/>
  <c r="G458" i="4"/>
  <c r="E458" i="1" s="1"/>
  <c r="G459" i="4"/>
  <c r="E459" i="1" s="1"/>
  <c r="G460" i="4"/>
  <c r="E460" i="1" s="1"/>
  <c r="G461" i="4"/>
  <c r="E461" i="1" s="1"/>
  <c r="G462" i="4"/>
  <c r="E462" i="1" s="1"/>
  <c r="G463" i="4"/>
  <c r="E463" i="1" s="1"/>
  <c r="G464" i="4"/>
  <c r="E464" i="1" s="1"/>
  <c r="G2" i="4"/>
  <c r="E2" i="1" s="1"/>
  <c r="O16" i="3"/>
  <c r="O15" i="3"/>
  <c r="O14" i="3"/>
  <c r="O13" i="3"/>
  <c r="O12" i="3"/>
  <c r="O11" i="3"/>
  <c r="O10" i="3"/>
  <c r="O9" i="3"/>
  <c r="O8" i="3"/>
  <c r="O7" i="3"/>
  <c r="O6" i="3"/>
  <c r="O5" i="3"/>
  <c r="A5" i="3"/>
  <c r="O4" i="3"/>
  <c r="A4" i="3"/>
  <c r="O3" i="3"/>
  <c r="A3" i="3"/>
  <c r="O2" i="3"/>
  <c r="A2" i="3"/>
  <c r="O1" i="3"/>
  <c r="A1" i="3"/>
  <c r="H463" i="1"/>
  <c r="H460" i="1"/>
  <c r="H459" i="1"/>
  <c r="H455" i="1"/>
  <c r="H451" i="1"/>
  <c r="H447" i="1"/>
  <c r="H444" i="1"/>
  <c r="H443" i="1"/>
  <c r="H439" i="1"/>
  <c r="H435" i="1"/>
  <c r="H431" i="1"/>
  <c r="H427" i="1"/>
  <c r="H423" i="1"/>
  <c r="H419" i="1"/>
  <c r="H415" i="1"/>
  <c r="H412" i="1"/>
  <c r="H411" i="1"/>
  <c r="H407" i="1"/>
  <c r="H403" i="1"/>
  <c r="H399" i="1"/>
  <c r="H395" i="1"/>
  <c r="H391" i="1"/>
  <c r="H387" i="1"/>
  <c r="H383" i="1"/>
  <c r="H381" i="1"/>
  <c r="H380" i="1"/>
  <c r="H379" i="1"/>
  <c r="H375" i="1"/>
  <c r="H371" i="1"/>
  <c r="H367" i="1"/>
  <c r="H364" i="1"/>
  <c r="H363" i="1"/>
  <c r="H359" i="1"/>
  <c r="H355" i="1"/>
  <c r="H351" i="1"/>
  <c r="H347" i="1"/>
  <c r="H343" i="1"/>
  <c r="H339" i="1"/>
  <c r="H335" i="1"/>
  <c r="H333" i="1"/>
  <c r="H331" i="1"/>
  <c r="H327" i="1"/>
  <c r="H325" i="1"/>
  <c r="H323" i="1"/>
  <c r="H319" i="1"/>
  <c r="H316" i="1"/>
  <c r="H315" i="1"/>
  <c r="H311" i="1"/>
  <c r="H307" i="1"/>
  <c r="H303" i="1"/>
  <c r="H300" i="1"/>
  <c r="H299" i="1"/>
  <c r="H295" i="1"/>
  <c r="H293" i="1"/>
  <c r="H291" i="1"/>
  <c r="H287" i="1"/>
  <c r="H284" i="1"/>
  <c r="H283" i="1"/>
  <c r="H279" i="1"/>
  <c r="H276" i="1"/>
  <c r="H275" i="1"/>
  <c r="H271" i="1"/>
  <c r="H267" i="1"/>
  <c r="H263" i="1"/>
  <c r="H259" i="1"/>
  <c r="H255" i="1"/>
  <c r="H251" i="1"/>
  <c r="H247" i="1"/>
  <c r="H243" i="1"/>
  <c r="H239" i="1"/>
  <c r="H235" i="1"/>
  <c r="H231" i="1"/>
  <c r="H227" i="1"/>
  <c r="H223" i="1"/>
  <c r="H219" i="1"/>
  <c r="H215" i="1"/>
  <c r="H212" i="1"/>
  <c r="H211" i="1"/>
  <c r="H207" i="1"/>
  <c r="H203" i="1"/>
  <c r="H199" i="1"/>
  <c r="H195" i="1"/>
  <c r="H191" i="1"/>
  <c r="H187" i="1"/>
  <c r="H183" i="1"/>
  <c r="H181" i="1"/>
  <c r="H179" i="1"/>
  <c r="H175" i="1"/>
  <c r="H171" i="1"/>
  <c r="H167" i="1"/>
  <c r="H163" i="1"/>
  <c r="H159" i="1"/>
  <c r="H157" i="1"/>
  <c r="H155" i="1"/>
  <c r="H151" i="1"/>
  <c r="H147" i="1"/>
  <c r="H143" i="1"/>
  <c r="H142" i="1"/>
  <c r="H139" i="1"/>
  <c r="H135" i="1"/>
  <c r="H133" i="1"/>
  <c r="H131" i="1"/>
  <c r="H127" i="1"/>
  <c r="H123" i="1"/>
  <c r="H119" i="1"/>
  <c r="H115" i="1"/>
  <c r="H111" i="1"/>
  <c r="H107" i="1"/>
  <c r="H103" i="1"/>
  <c r="H100" i="1"/>
  <c r="H99" i="1"/>
  <c r="H95" i="1"/>
  <c r="H92" i="1"/>
  <c r="H91" i="1"/>
  <c r="H87" i="1"/>
  <c r="H84" i="1"/>
  <c r="H83" i="1"/>
  <c r="H79" i="1"/>
  <c r="H75" i="1"/>
  <c r="H71" i="1"/>
  <c r="H67" i="1"/>
  <c r="H63" i="1"/>
  <c r="H59" i="1"/>
  <c r="H55" i="1"/>
  <c r="H51" i="1"/>
  <c r="H47" i="1"/>
  <c r="H44" i="1"/>
  <c r="H43" i="1"/>
  <c r="H39" i="1"/>
  <c r="H35" i="1"/>
  <c r="H31" i="1"/>
  <c r="H29" i="1"/>
  <c r="H28" i="1"/>
  <c r="H27" i="1"/>
  <c r="H23" i="1"/>
  <c r="H21" i="1"/>
  <c r="H20" i="1"/>
  <c r="H19" i="1"/>
  <c r="H15" i="1"/>
  <c r="H13" i="1"/>
  <c r="H11" i="1"/>
  <c r="H7" i="1"/>
  <c r="H3" i="1"/>
</calcChain>
</file>

<file path=xl/sharedStrings.xml><?xml version="1.0" encoding="utf-8"?>
<sst xmlns="http://schemas.openxmlformats.org/spreadsheetml/2006/main" count="5959" uniqueCount="2799">
  <si>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</si>
  <si>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</si>
  <si>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</si>
  <si>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</si>
  <si>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</si>
  <si>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</si>
  <si>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</si>
  <si>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</si>
  <si>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Agente</t>
  </si>
  <si>
    <t>Status do Pedido</t>
  </si>
  <si>
    <t>CPF</t>
  </si>
  <si>
    <t>CNPJ</t>
  </si>
  <si>
    <t>Razão Social</t>
  </si>
  <si>
    <t>e-CNPJ A3</t>
  </si>
  <si>
    <t>AR CERTIFAST</t>
  </si>
  <si>
    <t>Ponto de Atendimento AR Certifast - Maua Centro/SP</t>
  </si>
  <si>
    <t>Aprovado</t>
  </si>
  <si>
    <t>Ponto de Atendimento AR Certifast - Prado BH/MG</t>
  </si>
  <si>
    <t>AR Certifast</t>
  </si>
  <si>
    <t>PONTO DE ATENDIMENTO AR CERTIFAST - ANDROMEDA/SP</t>
  </si>
  <si>
    <t>Ponto de Atendimento AR Certifast - Pauliceia/SP</t>
  </si>
  <si>
    <t>D DE S DIAS</t>
  </si>
  <si>
    <t>ADALBERTO FERREIRA FILHO</t>
  </si>
  <si>
    <t>brun31ma@terra.com.br</t>
  </si>
  <si>
    <t>008.226.258-65</t>
  </si>
  <si>
    <t>SOLUTION SITES SOLUCAO INFORMATIZADA LTDA</t>
  </si>
  <si>
    <t>contabilidade@afccontabilsjc.com.br</t>
  </si>
  <si>
    <t>NEUSA LIMA DE OLIVEIRA DA SILVA 26970247864</t>
  </si>
  <si>
    <t>REPRESENTACOES J SILVA LTDA</t>
  </si>
  <si>
    <t>RONECAL METAIS LTDA</t>
  </si>
  <si>
    <t>brenda.bulgarelli@biocontabil.com.br</t>
  </si>
  <si>
    <t>ARENA DE LUTAS ARTES MARCIAIS LTDA</t>
  </si>
  <si>
    <t>nova sao bernardo negocios imobiliarios ltda</t>
  </si>
  <si>
    <t>montanini@montanini.com.br</t>
  </si>
  <si>
    <t>CONSORCIO SDT SUL</t>
  </si>
  <si>
    <t>CONSORCIO DARWIN TB EXTREMO NORTE</t>
  </si>
  <si>
    <t>CONSORCIO DARWIN TB SAO MIGUEL PAULISTA</t>
  </si>
  <si>
    <t>PONTO DE ATENDIMENTO AR CERTIFAST - CARIJOS - STA/SP</t>
  </si>
  <si>
    <t>51 568 663 JEFFERSON ALVES DE SOUZA</t>
  </si>
  <si>
    <t>48 948 530 BARBARA MAIULI DE LIMA KOMATSU</t>
  </si>
  <si>
    <t>WILSON PICCOLI RECICLAGEM LTDA</t>
  </si>
  <si>
    <t>HLA PARTICIPACOES LTDA</t>
  </si>
  <si>
    <t>jh.contabilidade@hotmail.com</t>
  </si>
  <si>
    <t>GELLI E ABREU COMERCIO DE COLCHOES LTDA</t>
  </si>
  <si>
    <t>BEIRA RIO COMERCIO E SERVICOS LTDA</t>
  </si>
  <si>
    <t>RIVERSIDE HOLDING BUSSINESS AND PARTICIPATIONS LT</t>
  </si>
  <si>
    <t>Cosma Do Brasil Produtos e Servicos Automotivos L</t>
  </si>
  <si>
    <t>LVACP EDUCACIONAL LTDA</t>
  </si>
  <si>
    <t>GUSTAVO SALVADOR CAMPOS TREINAMENTO</t>
  </si>
  <si>
    <t>50 328 212 NATHALIA LOPES DA SILVA</t>
  </si>
  <si>
    <t>42 658 348 VINICIUS ROBERTO DE OLIVEIRA GOMES</t>
  </si>
  <si>
    <t>mavilinborges@gmail.com</t>
  </si>
  <si>
    <t>ALUMIPRATA ESQUADRIAS DE ALUMINIO ESPECIAIS LTDA</t>
  </si>
  <si>
    <t>GUSTAVO BATISTA OZORIO 40932175805</t>
  </si>
  <si>
    <t>coord.societario@reluzcontabil.com.br</t>
  </si>
  <si>
    <t>TWISTER VANS TRANSPORTES E LOCADORA DE VEICULOS L</t>
  </si>
  <si>
    <t>17 971 421 LEONARDO FRIGO</t>
  </si>
  <si>
    <t>BORRACHINHA TAPETES EM E V A LTDA</t>
  </si>
  <si>
    <t>ADS HOLDING LTDA</t>
  </si>
  <si>
    <t>W D NINCAO AUTO MECANICA</t>
  </si>
  <si>
    <t>SUPREME COLCHOES E PLANEJADOS LTDA</t>
  </si>
  <si>
    <t>M MONTEIRO GARCIA TRANSPORTES</t>
  </si>
  <si>
    <t>F L X COMERCIO DE COLCHOES LTDA</t>
  </si>
  <si>
    <t>SOUZA E CASTRO COMERCIO DE COLCHOES LTDA</t>
  </si>
  <si>
    <t>ASSOCIACAO BIBLICA E CULTURAL DE MAUA</t>
  </si>
  <si>
    <t>51 894 998 RAQUEL CALIXTO DOS SANTOS</t>
  </si>
  <si>
    <t>CAROLINA PASCUCCI DOS SANTOS 34774207802</t>
  </si>
  <si>
    <t>50 575 980 PAULO ALEXANDRE DE FREITAS</t>
  </si>
  <si>
    <t>J A DA SILVA ENGENHARIA DE SEGURANCA E MEIO AMBIE</t>
  </si>
  <si>
    <t>FLANCIELIO MONTEIRO NASCIMENTO 37281274858</t>
  </si>
  <si>
    <t>ALESSANDRA M R DOS SANTOS TREINAMENTOS</t>
  </si>
  <si>
    <t>51 379 336 LUIZ GABRIEL TEIXEIRA ARIAS</t>
  </si>
  <si>
    <t>ALEFF TAVARES GOMES</t>
  </si>
  <si>
    <t>468.346.248-64</t>
  </si>
  <si>
    <t>WILLIAM ROBERT DE OLIVEIRA 36621014830</t>
  </si>
  <si>
    <t>FABIANA PEREIRA DA ROCHA RODRIGUES</t>
  </si>
  <si>
    <t>AUTO POSTO MASTER CHICO LTDA</t>
  </si>
  <si>
    <t>RENATO ROSA SOCIEDADE INDIVIDUAL DE ADVOCACIA</t>
  </si>
  <si>
    <t>RAGI REFRIGERANTES LTDA</t>
  </si>
  <si>
    <t>Ponto de Atendimento AR Certifast - Galeria Nova Barao - Edificio 3/SP</t>
  </si>
  <si>
    <t>LINHAL IND E COM DE MATERIAIS PARA CONSTRUCAO LTD</t>
  </si>
  <si>
    <t>CONDOMINIO CONJUNTO RESIDENCIAL PARQUE TRIANON BL</t>
  </si>
  <si>
    <t>G DE SOUZA TRANSPORTES</t>
  </si>
  <si>
    <t>CONSORCIO PESAGEM VIARIA SP</t>
  </si>
  <si>
    <t>MAURO DE ALMEIDA RIBEIRO</t>
  </si>
  <si>
    <t>OTHON GUILHERME RIBEIRO BRAGA 09382531661</t>
  </si>
  <si>
    <t>H B FORMACAO PROFISSIONAL LTDA</t>
  </si>
  <si>
    <t>CRESCER TERAPIA INFANTIL LTDA</t>
  </si>
  <si>
    <t>LA PAZ LOCACAO E TRANSPORTES LTDA</t>
  </si>
  <si>
    <t>AVEZ PROMOCIONAL LTDA</t>
  </si>
  <si>
    <t>JANIS CRISTINA DE AZEVEDO 31455404837</t>
  </si>
  <si>
    <t>KIOSQUE NKOZ LTDA</t>
  </si>
  <si>
    <t>CONSORCIO DARWIN TB MAUA</t>
  </si>
  <si>
    <t>EMBRAER GPX LTDA</t>
  </si>
  <si>
    <t>ELITE JOIAS LTDA</t>
  </si>
  <si>
    <t>NOEMI CASSIANO DE FREITAS</t>
  </si>
  <si>
    <t>53 030 984 RAFAEL HENRIQUE DE MEDEIROS</t>
  </si>
  <si>
    <t>natarten@gmail.com</t>
  </si>
  <si>
    <t>PONTO DE ATENDIMENTO AR CERTIFAST - ILHABELA/SP</t>
  </si>
  <si>
    <t>NAVEGA ILHABELA TURISMO LTDA</t>
  </si>
  <si>
    <t>CRISTINA DE CASTRO AFONSO FERREIRA 12463510803</t>
  </si>
  <si>
    <t>Ponto de Atendimento AR Certifast - Prado BH/MG - JUS</t>
  </si>
  <si>
    <t>PSI CONSULTING LTDA</t>
  </si>
  <si>
    <t>DIONE ANDRADE SILVA ARTIGO ELETRONICOS</t>
  </si>
  <si>
    <t>52 925 408 DOUGLAS EBRAM GUSMAO</t>
  </si>
  <si>
    <t>NUEL TECH SOLUCOES INTELIGENTES LTDA</t>
  </si>
  <si>
    <t>contato@squemacontabil.com.br</t>
  </si>
  <si>
    <t>VENEZA FOMENTO MERCANTIL LTDA</t>
  </si>
  <si>
    <t>UNICO TECNOLOGIA DA INFORMACAO LTDA</t>
  </si>
  <si>
    <t>FLEMING CONSTRUCOES E INCORPORACOES LTDA</t>
  </si>
  <si>
    <t>GOULART E SANTOS CABELOS LTDA</t>
  </si>
  <si>
    <t>PORTUGUES COM ALVARO FERREIRA LTDA</t>
  </si>
  <si>
    <t>53 089 917 JOAO EUSTAQUIO DA SILVA</t>
  </si>
  <si>
    <t>TFX TRANSPORTES E LOGISTICA LTDA</t>
  </si>
  <si>
    <t>RD3 DESENVOLVIMENTO DE SISTEMAS LTDA</t>
  </si>
  <si>
    <t>45 744 291 TIAGO DE SOUSA SANTOS</t>
  </si>
  <si>
    <t>WLG SOLUCOES EM TECNOLOGIAS</t>
  </si>
  <si>
    <t>LAISA LAZARO DANTAS MARINI 40275888860</t>
  </si>
  <si>
    <t>TRANSFORMANDO VONTADE EM ACAO</t>
  </si>
  <si>
    <t>ALUMIPRATA ESQUADRIAS DE ALUMINIO LTDA</t>
  </si>
  <si>
    <t>TB FACILITIES S A</t>
  </si>
  <si>
    <t>TB FROTAS SA</t>
  </si>
  <si>
    <t>TB GREEN SA</t>
  </si>
  <si>
    <t>TB LOGUER S A</t>
  </si>
  <si>
    <t>TB URBEM S A</t>
  </si>
  <si>
    <t>TB SERVICOS TRANSPORTE LIMPEZA GERENCIAMENTO E RE</t>
  </si>
  <si>
    <t>bublitz.scontabeis@gmail.com</t>
  </si>
  <si>
    <t>VESPER MICRO DESTILARIA LTDA</t>
  </si>
  <si>
    <t>48 272 411 KARINA ALBINO DE SOUZA</t>
  </si>
  <si>
    <t>PONTO DE ATENDIMENTO AR Certifast - Sao Jose dos Campos/SP</t>
  </si>
  <si>
    <t>CENTRO DE ASSISTENCIA SOCIAL EVANGELICO PALAVRA D</t>
  </si>
  <si>
    <t>J F DE SOUZA CONTABILIDADE</t>
  </si>
  <si>
    <t>NEOVECTOR PROJETOS AMBIENTAIS EDUCATIVOS E CULTUR</t>
  </si>
  <si>
    <t>JULIANA DA ROCHA MUNHOZ</t>
  </si>
  <si>
    <t>PITAYA ECOMM LTDA</t>
  </si>
  <si>
    <t>NUTRI QUALY REFEICOES LTDA</t>
  </si>
  <si>
    <t>BOTECO ABECE DO CHOOP BAR E RESTAUTANTE LTDA</t>
  </si>
  <si>
    <t>G KT DO BRASIL LTDA</t>
  </si>
  <si>
    <t>LU ASSESSORIA EMPRESARIAL LTDA</t>
  </si>
  <si>
    <t>METROPOLE TURISMO FRETAMENTO E LOCADORA LTDA</t>
  </si>
  <si>
    <t>IMPACTO COMERCIO E MANUTENCAO DE COMBUSTIVEIS E C</t>
  </si>
  <si>
    <t>BHONI NEGOCIOS E INVESTIMENTOS LTDA</t>
  </si>
  <si>
    <t>ERIC ZAPPAROLI 39637774866</t>
  </si>
  <si>
    <t>VICTOR OCANHA DE TOLEDO 29747484811</t>
  </si>
  <si>
    <t>POSTO REDE NOVA DO BOSQUE LTDA</t>
  </si>
  <si>
    <t>AUTO POSTO NOVA MICHIGAN LTDA</t>
  </si>
  <si>
    <t>AUTO POSTO CARVALHO ALMEIDA LTDA</t>
  </si>
  <si>
    <t>JCLAUDIO E VALERIA ODONTOLOGIA E SERVICOS TECNOLO</t>
  </si>
  <si>
    <t>CARLOS ALEXANDRE AMARAL ELETRONICOS</t>
  </si>
  <si>
    <t>MIGUEL VICTOR SERVICOS DE PINTURA E COMERCIO LTDA</t>
  </si>
  <si>
    <t>SAJA TRANSPORTES LTDA</t>
  </si>
  <si>
    <t>AUTO POSTO SET VILLE LTDA</t>
  </si>
  <si>
    <t>FERDINAND D ALENCON SOCIEDADE INDIVIDUAL DE ADVOC</t>
  </si>
  <si>
    <t>52 961 396 VIRGILIO LAGES REIS</t>
  </si>
  <si>
    <t>MARISA DOS SANTOS SILVA RACHEL</t>
  </si>
  <si>
    <t>MF SALDANHA APOIO ADMINISTRATIVO LTDA</t>
  </si>
  <si>
    <t>SALT LUBRIFICANTES LTDA</t>
  </si>
  <si>
    <t>JOICE ROBERTA DE OLIVEIRA MARINHO 37260160829</t>
  </si>
  <si>
    <t>PONTO DE ATENDIMENTO AR CERTIFAST - ANDROMEDA/SP - JUS</t>
  </si>
  <si>
    <t>VIDA NOVA CENTER CONSTRUCOES EIRELI</t>
  </si>
  <si>
    <t>CRISTIANO LOPES DUARTE 97169862620</t>
  </si>
  <si>
    <t>CHOCOLATES KM LTDA</t>
  </si>
  <si>
    <t>MERCADO EL COGUMELO E DISTRIBUIDORA DE PRODUDOS A</t>
  </si>
  <si>
    <t>CASA DO MARMORISTA COMERCIO E IMPORTACAO LTDA</t>
  </si>
  <si>
    <t>W M R TRANSPORTES LTDA</t>
  </si>
  <si>
    <t>IG FORMACAO PROFISSIONAL TATUAPE LTDA</t>
  </si>
  <si>
    <t>53 125 855 THAIS ALVES DA SILVA</t>
  </si>
  <si>
    <t>AMC ACESSORIOS MAQUINAS E CONSTRUCAO LTDA</t>
  </si>
  <si>
    <t>EDEM GOMES COSTA REPRESENTACAO COMERCIAL</t>
  </si>
  <si>
    <t>52 523 646 JOSE VITOR DA SILVA SOUSA</t>
  </si>
  <si>
    <t>ZANPIERI VEICULOS LTDA</t>
  </si>
  <si>
    <t>LUAN THIAGO PEREZ</t>
  </si>
  <si>
    <t>KOFAX PRODUTOS DE IMAGEM DO BRASIL LTDA</t>
  </si>
  <si>
    <t>EASE COLCHOES LTDA</t>
  </si>
  <si>
    <t>VINICIUS DE OLIVEIRA SANTOS</t>
  </si>
  <si>
    <t>JUCIMAR DE SANTANA SILVA UNIFORMES</t>
  </si>
  <si>
    <t>PONTES TURISMO E TRANSPORTES LTDA</t>
  </si>
  <si>
    <t>CARVAO DAMIAO LTDA</t>
  </si>
  <si>
    <t>EMBRAER S A</t>
  </si>
  <si>
    <t>CICARELLI ADMINISTRACAO E PARTICIPACOES S A</t>
  </si>
  <si>
    <t>GORILLA BITS TECNOLOGIA DE INFORMACAO LTDA</t>
  </si>
  <si>
    <t>MINIMERCADO NOVA CACULA LTDA</t>
  </si>
  <si>
    <t>BIANCA TAVARES MARCONDES 45517674844</t>
  </si>
  <si>
    <t>JULIANA E MARIANA COLCHOES LTDA</t>
  </si>
  <si>
    <t>GRAJAU FORMACAO PROFISSIONAL LTDA</t>
  </si>
  <si>
    <t>MAUA FORMACAO PROFISSIONAL LTDA</t>
  </si>
  <si>
    <t>TABOAO DA SERRA FORMACAO PROFISSIONAL LTDA</t>
  </si>
  <si>
    <t>PERMITA SE SER SAUDE E BEM ESTAR LTDA</t>
  </si>
  <si>
    <t>D DE ALMEIDA ASSESSORIA EMPRESARIAL</t>
  </si>
  <si>
    <t>SERGIO BACIN 05630973886</t>
  </si>
  <si>
    <t>REMAN AUTOMACAO E SEGURANCA ELETRONICA LTDA</t>
  </si>
  <si>
    <t>MARIA CRISTIANA DA SILVA 34346650805</t>
  </si>
  <si>
    <t>ALEX SOARES DA SILVA 38713375873</t>
  </si>
  <si>
    <t>COMERCIO E PRESTACAO DE SERVICO CASTILHO LTDA</t>
  </si>
  <si>
    <t>LEGADO REPRESENTACAO COMERCIAL LTDA</t>
  </si>
  <si>
    <t>BONA COMERCIO DE ELETRONICOS LTDA</t>
  </si>
  <si>
    <t>43 173 377 MICAEL SANTOS DE ALMEIDA</t>
  </si>
  <si>
    <t>YVAN CERQUEIRA DE SOUZA SORVETES</t>
  </si>
  <si>
    <t>HK ODONTOLOGIA ESTETICA LTDA</t>
  </si>
  <si>
    <t>gizafinancas@hotmail.com</t>
  </si>
  <si>
    <t>SHEKINAH EVENTOS LTDA</t>
  </si>
  <si>
    <t>VIENITALIA APOIO E DOCUMENTOS LTDA</t>
  </si>
  <si>
    <t>SIRINEU BARBOSA E MENDES MIRANDA ADVOGADOS ASSOCI</t>
  </si>
  <si>
    <t>R B DO NASCIMENTO ARTESANATOS</t>
  </si>
  <si>
    <t>APICE INTERMEDIACOES LTDA</t>
  </si>
  <si>
    <t>ACADEMIA SILVEIRA LTDA</t>
  </si>
  <si>
    <t>ML8 SERVICOS ADMINISTRATIVOS LTDA</t>
  </si>
  <si>
    <t>LIMA TRANSPORTES E LOCACAO LTDA</t>
  </si>
  <si>
    <t>ASSOCIACAO CULTURAL A VERDADE DO REINO</t>
  </si>
  <si>
    <t>ROGERIO ANTONIO DE CARVALHO</t>
  </si>
  <si>
    <t>ATLANTICA VALE CONSULTORIA LTDA</t>
  </si>
  <si>
    <t>TARCISO CARDOSO DOS REIS LANCHES E REFEICOES</t>
  </si>
  <si>
    <t>mauriciomarsoli@famagas.com.br</t>
  </si>
  <si>
    <t>JOSE ROGERIO GALVAO GAS</t>
  </si>
  <si>
    <t>FAMA FITNESS ESPORTES E EVENTOS LTDA</t>
  </si>
  <si>
    <t>COMERCIAL NJ AUTOMACAO INDUSTRIAL LTDA</t>
  </si>
  <si>
    <t>CONDOMINIO DO EDIFICIO HENRIQUE I</t>
  </si>
  <si>
    <t>52 795 251 KETELIN DIANE DOS SANTOS PEREIRA</t>
  </si>
  <si>
    <t>emerson.rodrigues@grupoprestarh.com.br</t>
  </si>
  <si>
    <t>LOTUS PARTICIPACOES LTDA</t>
  </si>
  <si>
    <t>GH REPRESENTACAO COMERCIAL LTDA</t>
  </si>
  <si>
    <t>MANJA E TORO LAR DIAMANTE LTDA</t>
  </si>
  <si>
    <t>ASSOCIACAO HOLY NOISE</t>
  </si>
  <si>
    <t>RGS VENDAS ONLINE LTDA</t>
  </si>
  <si>
    <t>ISE GESTAO E SERVICOS DE SAUDE LTDA</t>
  </si>
  <si>
    <t>EXFORCE COMERCIO E SERVICOS ELETRICOS LTDA</t>
  </si>
  <si>
    <t>ASSOCIACAO BIBLICA E CULTURAL DO JARDIM ZAIRA</t>
  </si>
  <si>
    <t>girlbbear@hotmail.com</t>
  </si>
  <si>
    <t>VALDENI ARAUJO DE MEDEIROS SALGADOS</t>
  </si>
  <si>
    <t>AB POSITIVO COMUNICACAO E MARKETING LTDA</t>
  </si>
  <si>
    <t>PIBELLO DIVERSIDADES LTDA</t>
  </si>
  <si>
    <t>RODRIGO CELEGHINI ALBINO</t>
  </si>
  <si>
    <t>ASSOCIACAO BIBLICA E CULTURAL DE SAO JOSE DOS CAM</t>
  </si>
  <si>
    <t>TICO STORE COMERCIO DE ACESSORIOS DE MODA LTDA</t>
  </si>
  <si>
    <t>LT STORE COMERCIO DE ACESSORIOS DE MODA LTDA</t>
  </si>
  <si>
    <t>PH STORE COMERCIO DE ACESSORIOS DE MODA LTDA</t>
  </si>
  <si>
    <t>RP CARVALHO ASSESSORIA E GESTAO LTDA</t>
  </si>
  <si>
    <t>M A R FREITAS FISIOTERAPIA</t>
  </si>
  <si>
    <t>JANE VIEIRA DE SOUZA SOCIEDADE INDIVIDUAL DE ADVO</t>
  </si>
  <si>
    <t>contresult@gmail.com</t>
  </si>
  <si>
    <t>J H SANCHES LTDA</t>
  </si>
  <si>
    <t>PRG MOBILITY LTDA</t>
  </si>
  <si>
    <t>NETFLOW CONSULTORIA EMPRESARIAL LTDA</t>
  </si>
  <si>
    <t>BOASS TRANSPORTE LTDA</t>
  </si>
  <si>
    <t>CDSP SERVICOS E COMERCIO DE PECAS PARA EMPILHADEI</t>
  </si>
  <si>
    <t>CLEBER ESTEVES SACRAMENTO LTDA</t>
  </si>
  <si>
    <t>EPISEG EQUIPAMENTOS E UNIFORMES LTDA</t>
  </si>
  <si>
    <t>ARTECIND ARTEFATOS TECNICOS INDUSTRIAIS LTDA</t>
  </si>
  <si>
    <t>SANTOAR AR CONDICIONADO LTDA</t>
  </si>
  <si>
    <t>SILVANA ALVES RIBEIRO STELARI TRANSPORTES</t>
  </si>
  <si>
    <t>DIGGIPRO NEGOCIOS DIGITAIS LTDA</t>
  </si>
  <si>
    <t>LAURA SILVA RODRIGUES 14515729640</t>
  </si>
  <si>
    <t>CONGREGACAO DAS IRMAS AUXILIARES DE NOSSA SENHORA</t>
  </si>
  <si>
    <t>SACOLAO WBRASIL LTDA</t>
  </si>
  <si>
    <t>MIDDLEBY DO BRASIL LTDA</t>
  </si>
  <si>
    <t>VIKING RANGE BRASIL PARTICIPACOES LTDA</t>
  </si>
  <si>
    <t>VIKING RANGE CORPORATION DO BRASIL IMPORTACAO E C</t>
  </si>
  <si>
    <t>SOLEIL ESTUDIO DE TATUAGENS LTDA</t>
  </si>
  <si>
    <t>51 638 889 EDMILSON LIMA BRAGANCA</t>
  </si>
  <si>
    <t>MOBIVALLEY TECNOLOGIA DA INFORMACAO LTDA</t>
  </si>
  <si>
    <t>MC11 SERVICOS ADMINISTRATIVOS LTDA</t>
  </si>
  <si>
    <t>JANAINA APARECIDA CREMONIN 36000993889</t>
  </si>
  <si>
    <t>TEXAS CONSULTORIA EM INTERCAMBIO LTDA</t>
  </si>
  <si>
    <t>GR8 COMERCIO DE PRODUTOS ESPORTIVO LTDA</t>
  </si>
  <si>
    <t>GENTILLE ALIMENTOS LTDA</t>
  </si>
  <si>
    <t>53 259 472 DOUGLAS BATISTA DA SILVA</t>
  </si>
  <si>
    <t>52 366 874 PATRICIA RIBEIRO FERREIRA</t>
  </si>
  <si>
    <t>SACOLAO TANCREDO EIRELI</t>
  </si>
  <si>
    <t>YR LEILOES LTDA</t>
  </si>
  <si>
    <t>YURI AGROPECUARIA LTDA</t>
  </si>
  <si>
    <t>MEGA FARMA SOLUCOES EM FARMACIA LTDA</t>
  </si>
  <si>
    <t>OLIMPIA COMERCIO DE COLCHOES LTDA</t>
  </si>
  <si>
    <t>MAGAZINE AGUILAR LTDA</t>
  </si>
  <si>
    <t>ASSOCIACAO BIBLICA CULTURAL JUR BOAS NOVAS DO REI</t>
  </si>
  <si>
    <t>AUTO POSTO MOREIRA CESAR LTDA</t>
  </si>
  <si>
    <t>AUTO POSTO FACILL CENTRAL LTDA</t>
  </si>
  <si>
    <t>MISTER BICHO COMERCIO VAREJISTA DE PRODUTOS VETER</t>
  </si>
  <si>
    <t>ANASTACIA C DA ROCHA DOCES FINOS</t>
  </si>
  <si>
    <t>ORTOANALIA COLCHOES LTDA</t>
  </si>
  <si>
    <t>CONSTRULAR SP COMERCIO E SERVICOS LTDA</t>
  </si>
  <si>
    <t>CONDOMINIO MARAU</t>
  </si>
  <si>
    <t>CONDOMINIO HOTEL RESIDENCIA QUARTETTO</t>
  </si>
  <si>
    <t>52 995 983 CARLOS ROBERTO DA SILVA</t>
  </si>
  <si>
    <t>PACA COMERCIAL LTDA</t>
  </si>
  <si>
    <t>RAVINI COMERCIO DE MOVEIS LTDA</t>
  </si>
  <si>
    <t>4R VALE SERVICOS AUTOMOTIVOS LTDA</t>
  </si>
  <si>
    <t>4R LITORAL SERVICOS AUTOMOTIVOS LTDA</t>
  </si>
  <si>
    <t>AUTO POSTO GTS LTDA</t>
  </si>
  <si>
    <t>MAIS TREINAMENTO ESPORTIVO LTDA</t>
  </si>
  <si>
    <t>DENIS RYOJI OGURA 28673045800</t>
  </si>
  <si>
    <t>SAMMA ALIMENTOS LTDA</t>
  </si>
  <si>
    <t>MOUNT INNOVATION LTDA</t>
  </si>
  <si>
    <t>JBM CONFECCAO E COMERCIO LTDA</t>
  </si>
  <si>
    <t>ORQUIDARIO EMANUEL LTDA</t>
  </si>
  <si>
    <t>PONTAL SERVICOS EM COMUNICACAO DIGITAL LTDA</t>
  </si>
  <si>
    <t>L COMERCIO DE PRODUTOS OPTICOS LTDA</t>
  </si>
  <si>
    <t>DANILO SOUZA CORREIA 40329557866</t>
  </si>
  <si>
    <t>24 416 825 WELTON GOMES DE SA</t>
  </si>
  <si>
    <t>MINIMERCADO SOL DA GABINAL LTDA</t>
  </si>
  <si>
    <t>A COMERCIO DE PRODUTOS OPTICOS LTDA</t>
  </si>
  <si>
    <t>52 734 855 REGINALDO DOS SANTOS</t>
  </si>
  <si>
    <t>SANDRO CARDOSO DE FIGUEREDO 08311319693</t>
  </si>
  <si>
    <t>LANTERNAGEM E PINTURA JAMIR LTDA</t>
  </si>
  <si>
    <t>JS FACCINI APOIO ADMINISTRATIVO LTDA</t>
  </si>
  <si>
    <t>SINUSAL TELEMEDICINA E TELECONSULTORIA LTDA</t>
  </si>
  <si>
    <t>KYRIOS FRETAMENTO E LOCACAO DE VEICULOS LTDA</t>
  </si>
  <si>
    <t>GAME HAUSER LTDA</t>
  </si>
  <si>
    <t>C YUME MEDICINA DO TRABALHO LTDA</t>
  </si>
  <si>
    <t>FILADELFIA TRANSPORTES E LOCADORA DE VEICULOS LTD</t>
  </si>
  <si>
    <t>NC INDUSTRIA DE ALIMENTOS LTDA</t>
  </si>
  <si>
    <t>DISTRIBUIDORA AL LTDA</t>
  </si>
  <si>
    <t>AKROPOLE PARTICIPACOES LTDA</t>
  </si>
  <si>
    <t>ALBACORA LTDA</t>
  </si>
  <si>
    <t>LOJAS NILTON LTDA</t>
  </si>
  <si>
    <t>KRUCKT KIDS LTDA</t>
  </si>
  <si>
    <t>DE CASTRO E VILAS BOAS COMERCIAL LTDA</t>
  </si>
  <si>
    <t>DEPOSITO SOARES ILHABELA LTDA</t>
  </si>
  <si>
    <t>A J DE FREITAS</t>
  </si>
  <si>
    <t>MECANICA BOX 48 LTDA</t>
  </si>
  <si>
    <t>R T LOCADORA DE VEICULOS LTDA</t>
  </si>
  <si>
    <t>ANA PAULA NUNES QUINI</t>
  </si>
  <si>
    <t>44 858 807 TIAGO FRANCISCO DE MATOS</t>
  </si>
  <si>
    <t>AGENCIA SALMAO LTDA</t>
  </si>
  <si>
    <t>KIGELINHO GELO SABORIZADO LTDA</t>
  </si>
  <si>
    <t>TRANSBROTHERS TRANSPORTES E TURISMO LTDA</t>
  </si>
  <si>
    <t>AUTO POSTO PEROLA TAUBATE LTDA</t>
  </si>
  <si>
    <t>AUTO POSTO LIDER DE UBATUBA LTDA</t>
  </si>
  <si>
    <t>AUTO POSTO PEROLA DE UBATUBA LTDA</t>
  </si>
  <si>
    <t>DALMAS PRESENTES LTDA</t>
  </si>
  <si>
    <t>DEMIUS RODRIGO MIRANDA DE PAULA CAMPOS 3090334186</t>
  </si>
  <si>
    <t>DETRONICS ENGENHARIA LTDA</t>
  </si>
  <si>
    <t>52 927 669 NATANAEL ALVES DE OLIVEIRA</t>
  </si>
  <si>
    <t>JOAO DA SILVA LTDA</t>
  </si>
  <si>
    <t>30 420 641 LEANDRO GONCALVES DOS SANTOS</t>
  </si>
  <si>
    <t>DANIEL SERODIO DURIGAN</t>
  </si>
  <si>
    <t>51 267 931 ERNANE LUCAS FRANCA ALVES DOS SANTOS</t>
  </si>
  <si>
    <t>DEMAX IMOVEIS ALTO PADRAO E LUXO LTDA</t>
  </si>
  <si>
    <t>CELESTION COMERCIO DE GRANITOS E SERVICOS LTDA</t>
  </si>
  <si>
    <t>LOLO PET STORE COMERCIO DE ROUPAS LTDA</t>
  </si>
  <si>
    <t>D E L MAQUINAS COMERCIO E SERVICOS LTDA</t>
  </si>
  <si>
    <t>assantoscontabil@gmail.com</t>
  </si>
  <si>
    <t>A S SANTOS CONTABILIDADE</t>
  </si>
  <si>
    <t>HS FACTORY INDUSTRIA E COMERCIO LTDA</t>
  </si>
  <si>
    <t>JUAREZ DOMINGUES DE VASCONCELOS</t>
  </si>
  <si>
    <t>CELTALIMP COMERCIO VAREJISTA DE ELETRONICOS LTDA</t>
  </si>
  <si>
    <t>BEATRIZ DA SILVEIRA SILVA 41717992870</t>
  </si>
  <si>
    <t>BS E A BUREAUX DE SERVICOS E ALIMENTACAO LTDA</t>
  </si>
  <si>
    <t>DHI CONSULTORIA E SERVICOS DE TI LTDA</t>
  </si>
  <si>
    <t>RA INFORMATICA LTDA</t>
  </si>
  <si>
    <t>EBF EQUIPAMENTOS E ENGENHARIA LTDA</t>
  </si>
  <si>
    <t>ISABELA ALVARES VETERINARIA ONCOLOGISTA LTDA</t>
  </si>
  <si>
    <t>CLIDET CLINICA MEDICA E PSICOLOGICA DO BAIRRO SAO</t>
  </si>
  <si>
    <t>E M DANTAS</t>
  </si>
  <si>
    <t>EQUIVALE EQUIPAMENTOS DE PROTECAO LTDA</t>
  </si>
  <si>
    <t>PEREIRA E ALLEGRINI COMUNICACAO LTDA</t>
  </si>
  <si>
    <t>AVIFER COMERCIO DE AVES E RACOES LTDA</t>
  </si>
  <si>
    <t>RAFAEL TORRES DE MARTIN</t>
  </si>
  <si>
    <t>252.393.068-42</t>
  </si>
  <si>
    <t>KING PET TRANSPORTES LTDA</t>
  </si>
  <si>
    <t>NID FONOAUDIOLOGIA E TERAPIA OCUPACIONAL LTDA</t>
  </si>
  <si>
    <t>RICARDO BAJUR ELETRONICA LTDA</t>
  </si>
  <si>
    <t>MEGA HOUSE COLCHOES LTDA</t>
  </si>
  <si>
    <t>LAIS PIRES LEAL BACELAR</t>
  </si>
  <si>
    <t>602.666.033-00</t>
  </si>
  <si>
    <t>INSTITUTO VALEPARAIBANO DE EDUCACAO E ESPORTE</t>
  </si>
  <si>
    <t>GASTRO FORMACAO PROFISSIONAL LTDA</t>
  </si>
  <si>
    <t>MARCENARIA QUEIROZ AUGUSTO LTDA</t>
  </si>
  <si>
    <t>AMANDA CRISTINA DOS SANTOS BRAGA 11553203607</t>
  </si>
  <si>
    <t>PRINT COMPANY IMPRESSAO LTDA</t>
  </si>
  <si>
    <t>BH MADEIRAS LTDA</t>
  </si>
  <si>
    <t>48 234 569 MAXIMINIO PEREIRA ROSA JUNIOR</t>
  </si>
  <si>
    <t>ALMIR RIBEIRO DE MORAES PRODUTOS DE LIMPEZA</t>
  </si>
  <si>
    <t>BLACKMED FORMACAO PROFISSIONAL LTDA</t>
  </si>
  <si>
    <t>ENSINO PROFISSIONALIZANTE E DESENVOLVIMENTOS A3 L</t>
  </si>
  <si>
    <t>TULLUM GASTROBAR LTDA</t>
  </si>
  <si>
    <t>NUTRITIME DISTRIBUICAO E NETWORK LTDA</t>
  </si>
  <si>
    <t>MAFE ESTILO LTDA</t>
  </si>
  <si>
    <t>NORTH FIT ESCOLA DE GINASTICA E DANCA LTDA</t>
  </si>
  <si>
    <t>PLASMATRONIC ASSISTENCIA TECNICA E COMERCIO DE AR</t>
  </si>
  <si>
    <t>9 DE JULHO COMERCIO DE COLCHOES LTDA</t>
  </si>
  <si>
    <t>NCB SISTEMAS EMBARCADOS LTDA</t>
  </si>
  <si>
    <t>NCB HOLDING DO BRASIL LTDA</t>
  </si>
  <si>
    <t>MONT SIAO TRANSPORTES E LOGISTICA LTDA</t>
  </si>
  <si>
    <t>AR Certifast - Jus</t>
  </si>
  <si>
    <t>TRANSPORTADORA M A M LOCACAO E TURISMO LTDA</t>
  </si>
  <si>
    <t>REVEST COMERCIO DE TECIDOS LTDA</t>
  </si>
  <si>
    <t>FDR GESTAO EMPRESARIAL LTDA</t>
  </si>
  <si>
    <t>50 422 373 MARCIA JOSE FERREIRA FONSECA</t>
  </si>
  <si>
    <t>LFK CONSULTORIA LTDA</t>
  </si>
  <si>
    <t>MEC SUL AUTO CENTER LTDA</t>
  </si>
  <si>
    <t>DELTON SANTOS</t>
  </si>
  <si>
    <t>028.108.528-55</t>
  </si>
  <si>
    <t>ALEXSANDER NASCIMENTO</t>
  </si>
  <si>
    <t>183.863.098-81</t>
  </si>
  <si>
    <t>DANIEL CARLOS HONORIO DA SILVA</t>
  </si>
  <si>
    <t>151.608.788-74</t>
  </si>
  <si>
    <t>contabil.lima@gmail.com</t>
  </si>
  <si>
    <t>Ponto de Atendimento AR Certifast - Maua Centro/SP - Jus</t>
  </si>
  <si>
    <t>Ponto de Atendimento AR Certifast - Jundiai Centro/SP</t>
  </si>
  <si>
    <t>FABIO RONALD PACOR RODRIGUES</t>
  </si>
  <si>
    <t>fpacor@uol.com.br</t>
  </si>
  <si>
    <t>173.025.948-05</t>
  </si>
  <si>
    <t>CONTABILIDADE4@ESCRITORIOCONTABILETICA.COM.BR</t>
  </si>
  <si>
    <t>contabilidade@oticasolarium.com.br</t>
  </si>
  <si>
    <t>Ponto de Atendimento AR Certifast - Galeria Nova Barao - Edificio 3/SP - Jus</t>
  </si>
  <si>
    <t/>
  </si>
  <si>
    <t>jsaraiva@sigsti.com.br</t>
  </si>
  <si>
    <t>JORGE ARMANDO ZAIDAN</t>
  </si>
  <si>
    <t>047.560.288-96</t>
  </si>
  <si>
    <t>FRANCISCO CARLOS MESSIAS BISPO</t>
  </si>
  <si>
    <t>fbispo@fbispo.com.br</t>
  </si>
  <si>
    <t>763.453.008-53</t>
  </si>
  <si>
    <t>AGENILTO ALVES DA CRUZ</t>
  </si>
  <si>
    <t>182.969.108-29</t>
  </si>
  <si>
    <t>PARATIGI TRANSPORTES E LOCACAO LTDA</t>
  </si>
  <si>
    <t>19993515</t>
  </si>
  <si>
    <t>01/02/2025</t>
  </si>
  <si>
    <t>GUSTAVO CORONADO SILVA</t>
  </si>
  <si>
    <t>DANUSIA@SMCONSUL.COM.BR</t>
  </si>
  <si>
    <t>487.045.518-85</t>
  </si>
  <si>
    <t>24.020.767/0001-40</t>
  </si>
  <si>
    <t>GMUD SERVICOS E INFORMATICA EIRELI</t>
  </si>
  <si>
    <t>19998399</t>
  </si>
  <si>
    <t>ISABELA PORTO NASCIMENTO</t>
  </si>
  <si>
    <t>isabela.nascimento@tjmg.jus.br</t>
  </si>
  <si>
    <t>874.483.271-00</t>
  </si>
  <si>
    <t>20008751</t>
  </si>
  <si>
    <t>CLAUDIO LUIZ CARVALHO SOUZA</t>
  </si>
  <si>
    <t>claudio@engenhariapower.com.br</t>
  </si>
  <si>
    <t>027.312.736-58</t>
  </si>
  <si>
    <t>22904676</t>
  </si>
  <si>
    <t>EDMUNDO MARIANO DA COSTA LANNA</t>
  </si>
  <si>
    <t>contabilidade@cimcop.com.br</t>
  </si>
  <si>
    <t>522.536.866-20</t>
  </si>
  <si>
    <t>17.161.464/0001-82</t>
  </si>
  <si>
    <t>CIMCOP S A ENGENHARIA E CONSTRUCOES</t>
  </si>
  <si>
    <t>22925222</t>
  </si>
  <si>
    <t>MARIA GISELE CRUZ ANDRADE</t>
  </si>
  <si>
    <t>adm.monteferragens@gmail.com</t>
  </si>
  <si>
    <t>401.065.218-70</t>
  </si>
  <si>
    <t>49.393.402/0001-92</t>
  </si>
  <si>
    <t>MONTE FERRAGENS LTDA</t>
  </si>
  <si>
    <t>22978910</t>
  </si>
  <si>
    <t>RAFAEL RODRIGUES DE MELO</t>
  </si>
  <si>
    <t>348.833.098-27</t>
  </si>
  <si>
    <t>53.594.729/0001-08</t>
  </si>
  <si>
    <t>REV COLCHOES LTDA</t>
  </si>
  <si>
    <t>23000204</t>
  </si>
  <si>
    <t>WALTER SILVEIRA</t>
  </si>
  <si>
    <t>614.447.588-53</t>
  </si>
  <si>
    <t>39.378.578/0002-00</t>
  </si>
  <si>
    <t>ACONGA SANDALIAS E ACESSORIOS DO VESTUARIO LTDA</t>
  </si>
  <si>
    <t>23005642</t>
  </si>
  <si>
    <t>EMERSON LUIS TEIXEIRA</t>
  </si>
  <si>
    <t>139.953.418-10</t>
  </si>
  <si>
    <t>19.005.929/0001-31</t>
  </si>
  <si>
    <t>LUIZA VALENTINE AMBIENTES PLANEJADOS LTDA</t>
  </si>
  <si>
    <t>23009504</t>
  </si>
  <si>
    <t>35.524.722/0001-20</t>
  </si>
  <si>
    <t>QUALIDADE AQUI IMPORTACAO E COMERCIO DE ARTIGOS D</t>
  </si>
  <si>
    <t>23013368</t>
  </si>
  <si>
    <t>HUGO CARDOSO GONCALVES PEREIRA</t>
  </si>
  <si>
    <t>goncalves.hugo@outlook.com</t>
  </si>
  <si>
    <t>403.679.028-50</t>
  </si>
  <si>
    <t>37.403.134/0001-63</t>
  </si>
  <si>
    <t>23014736</t>
  </si>
  <si>
    <t>DAYANE ONILES BATISTA DA SILVA</t>
  </si>
  <si>
    <t>dayane.obs@gmail.com</t>
  </si>
  <si>
    <t>375.947.258-32</t>
  </si>
  <si>
    <t>46.138.623/0001-26</t>
  </si>
  <si>
    <t>ALFRED E CONCIERGE TECH SOLUTIONS LTDA</t>
  </si>
  <si>
    <t>23018988</t>
  </si>
  <si>
    <t>ALBERTO SIQUEIRA FERREIRA</t>
  </si>
  <si>
    <t>albertosq@gmail.com</t>
  </si>
  <si>
    <t>377.932.518-73</t>
  </si>
  <si>
    <t>37.005.872/0001-52</t>
  </si>
  <si>
    <t>ALBERTO SIQUEIRA FERREIRA 37793251873</t>
  </si>
  <si>
    <t>23021199</t>
  </si>
  <si>
    <t>23022711</t>
  </si>
  <si>
    <t>ANA PAULA OJEDA DE OLIVEIRA</t>
  </si>
  <si>
    <t>221.613.368-00</t>
  </si>
  <si>
    <t>23023472</t>
  </si>
  <si>
    <t>MARCEL SANT ANA GUARIENTE</t>
  </si>
  <si>
    <t>marcel.guariente@gmail.com</t>
  </si>
  <si>
    <t>410.216.078-78</t>
  </si>
  <si>
    <t>23026458</t>
  </si>
  <si>
    <t>ADALTO LOURENCO SANTOS</t>
  </si>
  <si>
    <t>289.509.778-00</t>
  </si>
  <si>
    <t>32.147.600/0001-73</t>
  </si>
  <si>
    <t>A L SANTOS TRANSPORTES E LOCACAO LTDA</t>
  </si>
  <si>
    <t>23026909</t>
  </si>
  <si>
    <t>GISLAINE MARTINS</t>
  </si>
  <si>
    <t>contabilidade2@escritoriocontabiletica.com.br</t>
  </si>
  <si>
    <t>170.433.338-57</t>
  </si>
  <si>
    <t>10.994.130/0001-40</t>
  </si>
  <si>
    <t>HOUSE SP PARTICIPACOES PROMOTORA DE VENDAS LTDA</t>
  </si>
  <si>
    <t>23027103</t>
  </si>
  <si>
    <t>JOSE FABIO NETTO PARENTONI</t>
  </si>
  <si>
    <t>henriquepedrosa@madeplan.com.br</t>
  </si>
  <si>
    <t>500.784.886-72</t>
  </si>
  <si>
    <t>21.097.712/0001-40</t>
  </si>
  <si>
    <t>MADEPLAN MADEIREIRA PLANALTO LIMITADA</t>
  </si>
  <si>
    <t>23028744</t>
  </si>
  <si>
    <t>LEANDRO CUNHA LOBO</t>
  </si>
  <si>
    <t>290.105.428-58</t>
  </si>
  <si>
    <t>14.338.663/0001-25</t>
  </si>
  <si>
    <t>BBR LOCADORA DE VEICULOS LTDA</t>
  </si>
  <si>
    <t>23029772</t>
  </si>
  <si>
    <t>MARCOS FIGUEIRA JAJA</t>
  </si>
  <si>
    <t>199.190.568-80</t>
  </si>
  <si>
    <t>48.790.576/0001-26</t>
  </si>
  <si>
    <t>JAJA S HOUSE LTDA</t>
  </si>
  <si>
    <t>23030018</t>
  </si>
  <si>
    <t>WARLEY GONCALVES DA SILVA</t>
  </si>
  <si>
    <t>warley.gsilva@yahoo.com.br</t>
  </si>
  <si>
    <t>068.149.256-21</t>
  </si>
  <si>
    <t>53.190.477/0001-43</t>
  </si>
  <si>
    <t>WARLEY GONCALVES CORRETORA DE SEGUROS LTDA</t>
  </si>
  <si>
    <t>23030433</t>
  </si>
  <si>
    <t>DEOCLECIO GOMES DO NASCIMENTO</t>
  </si>
  <si>
    <t>253.457.518-03</t>
  </si>
  <si>
    <t>07.530.477/0001-28</t>
  </si>
  <si>
    <t>D J SOM E ACESSORIOS LTDA</t>
  </si>
  <si>
    <t>23030865</t>
  </si>
  <si>
    <t>RODRIGO MAIA DURANTE</t>
  </si>
  <si>
    <t>rodrigo@jpcientifica.com.br</t>
  </si>
  <si>
    <t>029.216.446-73</t>
  </si>
  <si>
    <t>49.387.733/0001-10</t>
  </si>
  <si>
    <t>RODRIGO MAIA REPRESENTACOES LTDA</t>
  </si>
  <si>
    <t>23031487</t>
  </si>
  <si>
    <t>PATRICK TEIXEIRA DUARTE</t>
  </si>
  <si>
    <t>patricktd@gmail.com</t>
  </si>
  <si>
    <t>035.107.876-25</t>
  </si>
  <si>
    <t>37.558.567/0001-98</t>
  </si>
  <si>
    <t>NOSSA CASA INTELIGENTE SISTEMAS DE SEGURANCA E SE</t>
  </si>
  <si>
    <t>19967581</t>
  </si>
  <si>
    <t>02/02/2025</t>
  </si>
  <si>
    <t>LETICIA VARIN ANTUNES</t>
  </si>
  <si>
    <t>leticia.varin@tjmg.jus.br</t>
  </si>
  <si>
    <t>Ponto de Atendimento AR Certifast - Pauliceia/SP - Jus</t>
  </si>
  <si>
    <t>288.413.228-70</t>
  </si>
  <si>
    <t>20034536</t>
  </si>
  <si>
    <t>ANDRE KEIGO YOSHIKAWA</t>
  </si>
  <si>
    <t>keigo@uol.com.br</t>
  </si>
  <si>
    <t>184.758.198-69</t>
  </si>
  <si>
    <t>00.565.701/0001-78</t>
  </si>
  <si>
    <t>JE PROCESSOS DE LIMPEZA S S LTDA</t>
  </si>
  <si>
    <t>20043536</t>
  </si>
  <si>
    <t>03/02/2025</t>
  </si>
  <si>
    <t>WALDEMIRO ELIAS MEIRA JUNIOR</t>
  </si>
  <si>
    <t>ALVES.MEIRA@HOTMAIL.COM</t>
  </si>
  <si>
    <t>862.909.591-15</t>
  </si>
  <si>
    <t>02.590.231/0001-28</t>
  </si>
  <si>
    <t>BANDEIRANTES COMERCIO DE MATERIAIS DE CONSTRUCAO</t>
  </si>
  <si>
    <t>22949586</t>
  </si>
  <si>
    <t>04/02/2025</t>
  </si>
  <si>
    <t>FABIO HENRIQUE DE OLIVEIRA MARTINS</t>
  </si>
  <si>
    <t>financeiro@onoffmarketing.com.br</t>
  </si>
  <si>
    <t>067.812.186-97</t>
  </si>
  <si>
    <t>21.491.555/0001-53</t>
  </si>
  <si>
    <t>FABIO HENRIQUE DE OLIVEIRA MARTINS 06781218697</t>
  </si>
  <si>
    <t>22976869</t>
  </si>
  <si>
    <t>DOUGLAS MICHAEL SIMMONS</t>
  </si>
  <si>
    <t>236.078.878-70</t>
  </si>
  <si>
    <t>30.990.328/0001-63</t>
  </si>
  <si>
    <t>MEL IDIOMAS LTDA</t>
  </si>
  <si>
    <t>23000842</t>
  </si>
  <si>
    <t>PAULO HENRIQUE DOMINGUES SARAIVA</t>
  </si>
  <si>
    <t>controladoria@accmg.com.br</t>
  </si>
  <si>
    <t>048.132.836-08</t>
  </si>
  <si>
    <t>08.000.185/0001-46</t>
  </si>
  <si>
    <t>ACCOUNTANCY CONTABILIDADE E CONSULTORIA LTDA</t>
  </si>
  <si>
    <t>23003039</t>
  </si>
  <si>
    <t>ROSIMEIRA IRMA DO NASCIMENTO MARTAURO</t>
  </si>
  <si>
    <t>178.482.678-22</t>
  </si>
  <si>
    <t>34.551.599/0001-73</t>
  </si>
  <si>
    <t>23009603</t>
  </si>
  <si>
    <t>MARIA CRISTINA SIMOES SILVERIO</t>
  </si>
  <si>
    <t>479.570.696-49</t>
  </si>
  <si>
    <t>22.690.586/0001-04</t>
  </si>
  <si>
    <t>M C S SILVERIO POSTE PADRAO</t>
  </si>
  <si>
    <t>23015299</t>
  </si>
  <si>
    <t>NAGIBA EL JALIS</t>
  </si>
  <si>
    <t>624.789.158-04</t>
  </si>
  <si>
    <t>60.074.234/0001-05</t>
  </si>
  <si>
    <t>60 074 234 NAGIBA EL JALIS</t>
  </si>
  <si>
    <t>23021471</t>
  </si>
  <si>
    <t>GUILHERME DE CARVALHO LOURES</t>
  </si>
  <si>
    <t>480.085.028-27</t>
  </si>
  <si>
    <t>53.704.787/0001-39</t>
  </si>
  <si>
    <t>VD REPRESENTACOES E CONSULTORIA EMPRESARIAL LTDA</t>
  </si>
  <si>
    <t>23023341</t>
  </si>
  <si>
    <t>VINICIUS GOMES DA SILVA</t>
  </si>
  <si>
    <t>distribuidorajrmix@gmail.com</t>
  </si>
  <si>
    <t>100.928.914-46</t>
  </si>
  <si>
    <t>53.742.281/0001-14</t>
  </si>
  <si>
    <t>53 742 281 VINICIUS GOMES DA SILVA</t>
  </si>
  <si>
    <t>23025989</t>
  </si>
  <si>
    <t>WESLEY VINICIUS ROSA MARTINS</t>
  </si>
  <si>
    <t>wesley@hortifrutiemporiominas.com.br</t>
  </si>
  <si>
    <t>086.888.796-05</t>
  </si>
  <si>
    <t>35.684.358/0001-65</t>
  </si>
  <si>
    <t>WVRM ACESSORIA LTDA</t>
  </si>
  <si>
    <t>23027405</t>
  </si>
  <si>
    <t>FERNANDO DE MOURA GOMES</t>
  </si>
  <si>
    <t>leandropradoilha@gmail.com</t>
  </si>
  <si>
    <t>267.961.728-25</t>
  </si>
  <si>
    <t>43.602.169/0001-24</t>
  </si>
  <si>
    <t>ILLA RESTAURANTE E ENTRETENIMENTO LTDA</t>
  </si>
  <si>
    <t>23030393</t>
  </si>
  <si>
    <t>ANA LUIZA GUIMARAES DUARTE</t>
  </si>
  <si>
    <t>distribuidoraachou@gmail.com</t>
  </si>
  <si>
    <t>139.406.646-50</t>
  </si>
  <si>
    <t>40.488.107/0001-45</t>
  </si>
  <si>
    <t>ACHOU AQUI DISTRIBUIDORA LTDA</t>
  </si>
  <si>
    <t>23031428</t>
  </si>
  <si>
    <t>JOSE CARLOS DE OLIVEIRA MONTEIRO</t>
  </si>
  <si>
    <t>arteemvidrosvdrr@gmail.com</t>
  </si>
  <si>
    <t>032.724.478-06</t>
  </si>
  <si>
    <t>06.998.055/0001-19</t>
  </si>
  <si>
    <t>ARTE EM VIDROS VIDRACARIA LTDA</t>
  </si>
  <si>
    <t>23031939</t>
  </si>
  <si>
    <t>EMERSON ALVES RIBEIRO</t>
  </si>
  <si>
    <t>787.894.515-20</t>
  </si>
  <si>
    <t>10.762.665/0001-96</t>
  </si>
  <si>
    <t>HOLD SCIENTIFIC IMPORTACAO E EXPORTACAO LTDA</t>
  </si>
  <si>
    <t>23034356</t>
  </si>
  <si>
    <t>DJALMA AFONSO VIEIRA</t>
  </si>
  <si>
    <t>bless.assessoria@gmail.com</t>
  </si>
  <si>
    <t>097.224.538-31</t>
  </si>
  <si>
    <t>49.422.269/0001-55</t>
  </si>
  <si>
    <t>DISTRIBUIDORA DE ALIMENTOS FLOR DO IPE LTDA</t>
  </si>
  <si>
    <t>23035338</t>
  </si>
  <si>
    <t>CLAUDIA PARIZ GALHARDO SALGADO TEIXEIRA</t>
  </si>
  <si>
    <t>138.505.588-00</t>
  </si>
  <si>
    <t>09.592.407/0001-20</t>
  </si>
  <si>
    <t>NOVA SOCORVET CLINICA VETERINARIA LTDA</t>
  </si>
  <si>
    <t>23037305</t>
  </si>
  <si>
    <t>ELIEL CERQUEIRA DE ARAUJO</t>
  </si>
  <si>
    <t>865.433.772-91</t>
  </si>
  <si>
    <t>26.853.599/0001-08</t>
  </si>
  <si>
    <t>23037761</t>
  </si>
  <si>
    <t>LUCIANO HENRIQUE PARSANESE</t>
  </si>
  <si>
    <t>mrexpress019@gmail.com</t>
  </si>
  <si>
    <t>287.324.578-63</t>
  </si>
  <si>
    <t>33.734.170/0001-59</t>
  </si>
  <si>
    <t>33 734 170 LUCIANO HENRIQUE PARSANESE</t>
  </si>
  <si>
    <t>22328236</t>
  </si>
  <si>
    <t>05/02/2025</t>
  </si>
  <si>
    <t>AILTON ZACCARI</t>
  </si>
  <si>
    <t>contabilcaroto@gmail.com</t>
  </si>
  <si>
    <t>056.697.068-62</t>
  </si>
  <si>
    <t>44.461.157/0001-90</t>
  </si>
  <si>
    <t>AILTON ZACCARI MANUTENCAO PREDIAL</t>
  </si>
  <si>
    <t>22353185</t>
  </si>
  <si>
    <t>VITOR KANASHIRO ICHIKAWA</t>
  </si>
  <si>
    <t>232.209.658-06</t>
  </si>
  <si>
    <t>44.475.543/0001-30</t>
  </si>
  <si>
    <t>VITOR KANASHIRO ICHIKAWA TERAPIA HOLISTICA</t>
  </si>
  <si>
    <t>22966516</t>
  </si>
  <si>
    <t>FABIANO RODRIGUES VALENTIM PEREIRA</t>
  </si>
  <si>
    <t>fabiano.r.valentim@gmail.com</t>
  </si>
  <si>
    <t>030.040.276-74</t>
  </si>
  <si>
    <t>53.547.274/0001-61</t>
  </si>
  <si>
    <t>S2E SOLIDA ENGENHARIA E ENERGIA LTDA</t>
  </si>
  <si>
    <t>23002368</t>
  </si>
  <si>
    <t>VITOR HIGINO DE ALMEIDA JESUS</t>
  </si>
  <si>
    <t>406.444.378-04</t>
  </si>
  <si>
    <t>24.236.466/0001-59</t>
  </si>
  <si>
    <t>VITOR HIGINO DE ALMEIDA JESUS LTDA</t>
  </si>
  <si>
    <t>23009727</t>
  </si>
  <si>
    <t>WANDERSON DA SILVA</t>
  </si>
  <si>
    <t>patriciareismartins@hotmail.com</t>
  </si>
  <si>
    <t>220.783.858-75</t>
  </si>
  <si>
    <t>15.373.682/0001-55</t>
  </si>
  <si>
    <t>WANDERSON DA SILVA BAR E LANCHONETE</t>
  </si>
  <si>
    <t>23018479</t>
  </si>
  <si>
    <t>ricardo@rkcontabilidade.com.br</t>
  </si>
  <si>
    <t>53.110.206/0001-30</t>
  </si>
  <si>
    <t>ALEFF GOMES INSTALACOES HIDRAULICAS LTDA</t>
  </si>
  <si>
    <t>23021161</t>
  </si>
  <si>
    <t>MARIA SUELI PINHEIRO ALVES DA SILVA</t>
  </si>
  <si>
    <t>277.945.158-07</t>
  </si>
  <si>
    <t>19.300.571/0001-70</t>
  </si>
  <si>
    <t>SUPREME DECOR PLANEJADOS E COLCHOES LTDA</t>
  </si>
  <si>
    <t>23022329</t>
  </si>
  <si>
    <t>CESAR AUGUSTO SILVA DOS SANTOS</t>
  </si>
  <si>
    <t>453.172.288-40</t>
  </si>
  <si>
    <t>52.627.570/0001-00</t>
  </si>
  <si>
    <t>52 627 570 CESAR AUGUSTO SILVA DOS SANTOS</t>
  </si>
  <si>
    <t>23026324</t>
  </si>
  <si>
    <t>GISELE DE CASTRO RAMOS</t>
  </si>
  <si>
    <t>289.335.658-33</t>
  </si>
  <si>
    <t>26.848.429/0001-27</t>
  </si>
  <si>
    <t>GRANPRIME TRANSPORTES E LOCACOES LTDA</t>
  </si>
  <si>
    <t>23026371</t>
  </si>
  <si>
    <t>FABRICIO DIAS PAES</t>
  </si>
  <si>
    <t>fabriciodpaes@hotmail.com</t>
  </si>
  <si>
    <t>332.245.258-19</t>
  </si>
  <si>
    <t>23027467</t>
  </si>
  <si>
    <t>LUISE HELENE FURLAN BUENO</t>
  </si>
  <si>
    <t>145.296.328-22</t>
  </si>
  <si>
    <t>17.567.823/0001-04</t>
  </si>
  <si>
    <t>FIRST LINE EXECUTIVE AUTO LOCADORA LTDA</t>
  </si>
  <si>
    <t>23027590</t>
  </si>
  <si>
    <t>FABIANA AMELIA REIS PANTUZZA</t>
  </si>
  <si>
    <t>fabiana.pantuzza@gmail.com</t>
  </si>
  <si>
    <t>007.623.956-05</t>
  </si>
  <si>
    <t>36.105.396/0001-89</t>
  </si>
  <si>
    <t>PANTUZZA EMPREENDIMENTOS DE ESCRITORIO LTDA</t>
  </si>
  <si>
    <t>23027676</t>
  </si>
  <si>
    <t>JOSEMAR OZIMO DA SILVA</t>
  </si>
  <si>
    <t>161.128.678-69</t>
  </si>
  <si>
    <t>40.257.330/0001-81</t>
  </si>
  <si>
    <t>HIDRELSERV MATERIAIS HIDRAULICOS E ELETRICOS LTDA</t>
  </si>
  <si>
    <t>23038307</t>
  </si>
  <si>
    <t>ALFREDO MAGNO DORNELES AIRES</t>
  </si>
  <si>
    <t>alfredodorneles@refriiso.com.br</t>
  </si>
  <si>
    <t>047.579.216-59</t>
  </si>
  <si>
    <t>26.335.879/0001-16</t>
  </si>
  <si>
    <t>REFRI ISO INDUSTRIA DE REFRIGERACAO E ELETRICA LT</t>
  </si>
  <si>
    <t>23038891</t>
  </si>
  <si>
    <t>MARCIO HENRIQUE ESPERANDIO DE SOUSA</t>
  </si>
  <si>
    <t>fiscal@matag.com.br</t>
  </si>
  <si>
    <t>479.440.618-57</t>
  </si>
  <si>
    <t>51.484.023/0001-50</t>
  </si>
  <si>
    <t>R T EXPERIENCE BARBEARIA LTDA</t>
  </si>
  <si>
    <t>23040127</t>
  </si>
  <si>
    <t>GERARDO LOPEZ VIDAL</t>
  </si>
  <si>
    <t>vendas.vidalembalagens@gmail.com</t>
  </si>
  <si>
    <t>007.127.468-54</t>
  </si>
  <si>
    <t>72.795.008/0001-00</t>
  </si>
  <si>
    <t>VIDAL COMERCIO DE PAPEIS E EMBALAGENS LTDA</t>
  </si>
  <si>
    <t>23040747</t>
  </si>
  <si>
    <t>JOSE ALOISIO ARAUJO</t>
  </si>
  <si>
    <t>jaloisioaraujo@gmail.com</t>
  </si>
  <si>
    <t>041.202.146-30</t>
  </si>
  <si>
    <t>35.284.164/0001-72</t>
  </si>
  <si>
    <t>JOSE ALOISIO ARAUJO 04120214630</t>
  </si>
  <si>
    <t>23040748</t>
  </si>
  <si>
    <t>LUCIANA CRISTOFALO DE MORAIS</t>
  </si>
  <si>
    <t>162.735.858-73</t>
  </si>
  <si>
    <t>26.194.140/0001-31</t>
  </si>
  <si>
    <t>LUCIANA CRISTOFALO DE MORAIS 16273585873</t>
  </si>
  <si>
    <t>23043802</t>
  </si>
  <si>
    <t>JEFFERSON AMORIM DOS SANTOS</t>
  </si>
  <si>
    <t>jeffersonamorin.soldas@gmail.com</t>
  </si>
  <si>
    <t>366.316.758-55</t>
  </si>
  <si>
    <t>37.371.452/0001-90</t>
  </si>
  <si>
    <t>37 371 452 JEFFERSON AMORIM DOS SANTOS</t>
  </si>
  <si>
    <t>23045082</t>
  </si>
  <si>
    <t>MARIA JOSE MATEUS</t>
  </si>
  <si>
    <t>maria.mateus@camfer.com.br</t>
  </si>
  <si>
    <t>642.863.048-68</t>
  </si>
  <si>
    <t>24.462.134/0001-92</t>
  </si>
  <si>
    <t>ITACA ASSESSORIA CONTABIL E FISCAL LTDA</t>
  </si>
  <si>
    <t>19946564</t>
  </si>
  <si>
    <t>06/02/2025</t>
  </si>
  <si>
    <t>ERIKA CHYPRIADES JUNQUEIRA AMARANTE</t>
  </si>
  <si>
    <t>CONSULTORIOBORGESLAGOA@HOTMAIL.COM</t>
  </si>
  <si>
    <t>174.348.608-12</t>
  </si>
  <si>
    <t>19977076</t>
  </si>
  <si>
    <t>ANDREA TORCHI</t>
  </si>
  <si>
    <t>andrea.torchi@gmail.com</t>
  </si>
  <si>
    <t>879.991.889-72</t>
  </si>
  <si>
    <t>19978735</t>
  </si>
  <si>
    <t>JULIANA SIQUEIRA BELTRAO CALDAS</t>
  </si>
  <si>
    <t>jubeltrao76@gmail.com</t>
  </si>
  <si>
    <t>036.250.996-40</t>
  </si>
  <si>
    <t>20022623</t>
  </si>
  <si>
    <t>ALEXANDRE KIYOSHI MISSAWA</t>
  </si>
  <si>
    <t>ALEXANDRE.KIYOSHI.MISSAWA@GMAIL.COM</t>
  </si>
  <si>
    <t>341.317.638-26</t>
  </si>
  <si>
    <t>43.612.114/0001-03</t>
  </si>
  <si>
    <t>ALEXANDRE K MISSAWA DESENVOLVIMENTO DE SISTEMAS D</t>
  </si>
  <si>
    <t>20040163</t>
  </si>
  <si>
    <t>MARIA CRISTINA CAMEIRAO DA MOTTA FRANCO</t>
  </si>
  <si>
    <t>guilherme@loctok.com.br</t>
  </si>
  <si>
    <t>033.268.448-24</t>
  </si>
  <si>
    <t>12.899.630/0001-29</t>
  </si>
  <si>
    <t>CUOREE CONSULTORIA EMPRESARIAL LTDA</t>
  </si>
  <si>
    <t>22984211</t>
  </si>
  <si>
    <t>CLAUDIO SILVEIRA SANTOS</t>
  </si>
  <si>
    <t>contato@requintedecoracoes.com.br</t>
  </si>
  <si>
    <t>084.760.068-88</t>
  </si>
  <si>
    <t>19.289.121/0001-23</t>
  </si>
  <si>
    <t>C SILVEIRA SANTOS LTDA</t>
  </si>
  <si>
    <t>22995427</t>
  </si>
  <si>
    <t>JEAN VLADIMIR DIAS</t>
  </si>
  <si>
    <t>jean@meiaskeny.com.br</t>
  </si>
  <si>
    <t>097.294.998-45</t>
  </si>
  <si>
    <t>23021240</t>
  </si>
  <si>
    <t>JOSE GONZAGA DA SILVA</t>
  </si>
  <si>
    <t>mjgdoces@hotmail.com</t>
  </si>
  <si>
    <t>484.593.649-68</t>
  </si>
  <si>
    <t>10.475.973/0001-30</t>
  </si>
  <si>
    <t>M J G COMERCIO DE DOCES LTDA</t>
  </si>
  <si>
    <t>23025708</t>
  </si>
  <si>
    <t>LUCAS NASTARI FERREIRA</t>
  </si>
  <si>
    <t>regiane@cbbsempresarial.com.br</t>
  </si>
  <si>
    <t>481.269.088-90</t>
  </si>
  <si>
    <t>23029847</t>
  </si>
  <si>
    <t>RAFAELA FERREIRA IASSIA</t>
  </si>
  <si>
    <t>iassiarafaela@gmail.com</t>
  </si>
  <si>
    <t>424.830.758-86</t>
  </si>
  <si>
    <t>23035912</t>
  </si>
  <si>
    <t>DELANO FLAVIO SILVA ARAUJO</t>
  </si>
  <si>
    <t>delanosaraujo@gmail.com</t>
  </si>
  <si>
    <t>007.797.766-15</t>
  </si>
  <si>
    <t>23037759</t>
  </si>
  <si>
    <t>ELECIANE ARAUJO ANGELIN FERNANDES</t>
  </si>
  <si>
    <t>eleciane.fernandes@gmail.com</t>
  </si>
  <si>
    <t>253.476.868-98</t>
  </si>
  <si>
    <t>50.783.496/0001-95</t>
  </si>
  <si>
    <t>50 783 496 ELECIANE ARAUJO ANGELIN FERNANDES</t>
  </si>
  <si>
    <t>23038364</t>
  </si>
  <si>
    <t>EDSON HENRIQUE LIMA DOS SANTOS</t>
  </si>
  <si>
    <t>460.481.738-30</t>
  </si>
  <si>
    <t>29.475.512/0001-96</t>
  </si>
  <si>
    <t>29 475 512 EDSON HENRIQUE LIMA DOS SANTOS</t>
  </si>
  <si>
    <t>23042051</t>
  </si>
  <si>
    <t>JOELMA DE OLIVEIRA FERREIRA</t>
  </si>
  <si>
    <t>borbolletakids@gmail.com</t>
  </si>
  <si>
    <t>223.474.788-00</t>
  </si>
  <si>
    <t>48.479.515/0001-42</t>
  </si>
  <si>
    <t>JOELMA DE OLIVEIRA FERREIRA 22347478800</t>
  </si>
  <si>
    <t>23043846</t>
  </si>
  <si>
    <t>PEDRO HENRIQUE ESTEVES FURTADO</t>
  </si>
  <si>
    <t>pedrohefurtado@gmail.com</t>
  </si>
  <si>
    <t>415.892.318-21</t>
  </si>
  <si>
    <t>23044100</t>
  </si>
  <si>
    <t>PIETRA EDUARDA BELLINI</t>
  </si>
  <si>
    <t>489.708.448-21</t>
  </si>
  <si>
    <t>23044118</t>
  </si>
  <si>
    <t>PATRICIA OLIVEIRA MONTANINI</t>
  </si>
  <si>
    <t>alan@slightsolution.com.br</t>
  </si>
  <si>
    <t>222.897.848-50</t>
  </si>
  <si>
    <t>23045953</t>
  </si>
  <si>
    <t>ARIADNE DA MATA SOUSA</t>
  </si>
  <si>
    <t>ariadnedamata@gmail.com</t>
  </si>
  <si>
    <t>700.172.521-80</t>
  </si>
  <si>
    <t>53.419.467/0001-37</t>
  </si>
  <si>
    <t>FAST BOX EXPRESS LTDA</t>
  </si>
  <si>
    <t>23046250</t>
  </si>
  <si>
    <t>GILSON APARECIDO LOPES</t>
  </si>
  <si>
    <t>financeiro@spfrutas.com.br</t>
  </si>
  <si>
    <t>063.839.318-30</t>
  </si>
  <si>
    <t>29.333.480/0001-94</t>
  </si>
  <si>
    <t>VALE FRUTAS LTDA</t>
  </si>
  <si>
    <t>23047095</t>
  </si>
  <si>
    <t>VANDERLEI JUNIO DA SILVA</t>
  </si>
  <si>
    <t>vjassessoria.nr@gmail.com</t>
  </si>
  <si>
    <t>313.138.358-54</t>
  </si>
  <si>
    <t>48.337.574/0001-86</t>
  </si>
  <si>
    <t>VANDERLEI JUNIO DA SILVA 31313835854</t>
  </si>
  <si>
    <t>19998402</t>
  </si>
  <si>
    <t>07/02/2025</t>
  </si>
  <si>
    <t>JULIANA MOTA BONANNI</t>
  </si>
  <si>
    <t>juliana.bonanni@tjmg.jus.br</t>
  </si>
  <si>
    <t>000.313.766-06</t>
  </si>
  <si>
    <t>20019374</t>
  </si>
  <si>
    <t>ALECSANDRO DE MOURA SILVA</t>
  </si>
  <si>
    <t>ALECSMS@YAHOO.COM.BR</t>
  </si>
  <si>
    <t>250.425.358-37</t>
  </si>
  <si>
    <t>22.355.891/0001-31</t>
  </si>
  <si>
    <t>CENTRO DE APERFEICOAMENTO E DESENVOLVIMENTO TECNI</t>
  </si>
  <si>
    <t>20027153</t>
  </si>
  <si>
    <t>TERESA CRISTINA BARBOSA BARRETO</t>
  </si>
  <si>
    <t>teresa.barreto@tjmg.jus.br</t>
  </si>
  <si>
    <t>884.646.606-34</t>
  </si>
  <si>
    <t>20035769</t>
  </si>
  <si>
    <t>MELYSSA TAMIETTI SILVA</t>
  </si>
  <si>
    <t>MELYSSA.TAMIETTI@GMAIL.COM</t>
  </si>
  <si>
    <t>113.689.666-08</t>
  </si>
  <si>
    <t>45.029.620/0001-91</t>
  </si>
  <si>
    <t>MELYSSA TAMIETTI SILVA LTDA</t>
  </si>
  <si>
    <t>20035789</t>
  </si>
  <si>
    <t>ROBERTO RODRIGO DE MARCHI MENDES</t>
  </si>
  <si>
    <t>ROBERTO.MENDES@CERTISIGN.COM.BR</t>
  </si>
  <si>
    <t>221.653.518-47</t>
  </si>
  <si>
    <t>20036498</t>
  </si>
  <si>
    <t>FABIO HENRIQUE GOMES DE OLIVEIRA SANTOS</t>
  </si>
  <si>
    <t>DIASCOTACAO@HOTMAIL.COM</t>
  </si>
  <si>
    <t>101.834.046-70</t>
  </si>
  <si>
    <t>20044127</t>
  </si>
  <si>
    <t>GUILHERME LATINI FRANCA</t>
  </si>
  <si>
    <t>GUILHERME.FRANCA@NEXTGI.COM.BR</t>
  </si>
  <si>
    <t>014.835.026-78</t>
  </si>
  <si>
    <t>20054438</t>
  </si>
  <si>
    <t>RONALDO VIEIRA DA SILVA</t>
  </si>
  <si>
    <t>ADMTECNOR@GMAIL.COM</t>
  </si>
  <si>
    <t>092.701.298-70</t>
  </si>
  <si>
    <t>09.458.242/0001-06</t>
  </si>
  <si>
    <t>TECNO R INDUSTRIA E COMERCIO DE ARTEFATOS DE META</t>
  </si>
  <si>
    <t>22955939</t>
  </si>
  <si>
    <t>CAROLINE CASTRO DE SOUZA</t>
  </si>
  <si>
    <t>contato@carolinecastro.com.br</t>
  </si>
  <si>
    <t>050.522.616-24</t>
  </si>
  <si>
    <t>22999919</t>
  </si>
  <si>
    <t>ADRIANO PEREIRA VICENTE</t>
  </si>
  <si>
    <t>ap1531777@gmail.com</t>
  </si>
  <si>
    <t>341.457.098-02</t>
  </si>
  <si>
    <t>23009560</t>
  </si>
  <si>
    <t>LARA CARVALHO MIRAGAIA COSTA</t>
  </si>
  <si>
    <t>542.178.158-59</t>
  </si>
  <si>
    <t>48.577.259/0001-26</t>
  </si>
  <si>
    <t>AUTO POSTO URBANOVA SJC LTDA</t>
  </si>
  <si>
    <t>23014617</t>
  </si>
  <si>
    <t>FELIPE STEINDORF PESSOTTO</t>
  </si>
  <si>
    <t>085.287.819-25</t>
  </si>
  <si>
    <t>45.335.917/0001-85</t>
  </si>
  <si>
    <t>FLP COMERCIO DE ALIMENTOS LTDA</t>
  </si>
  <si>
    <t>23015836</t>
  </si>
  <si>
    <t>VALCEMIR AMORIM MORAIS</t>
  </si>
  <si>
    <t>022.551.247-50</t>
  </si>
  <si>
    <t>49.307.233/0001-20</t>
  </si>
  <si>
    <t>OMEGA LOCACAO E TRANSPORTE DE PESSOAS LTDA</t>
  </si>
  <si>
    <t>23038890</t>
  </si>
  <si>
    <t>ALEX SANDRO VILAS BOAS SILVA</t>
  </si>
  <si>
    <t>vbs3istore@gmail.com</t>
  </si>
  <si>
    <t>268.381.888-21</t>
  </si>
  <si>
    <t>40.976.244/0001-29</t>
  </si>
  <si>
    <t>ALEX SANDRO VILAS BOAS SILVA 26838188821</t>
  </si>
  <si>
    <t>23039764</t>
  </si>
  <si>
    <t>ANDRE LUIZ CALIXTO DA SILVA</t>
  </si>
  <si>
    <t>andrecalixtosilva@yahoo.com.br</t>
  </si>
  <si>
    <t>384.523.058-42</t>
  </si>
  <si>
    <t>23043323</t>
  </si>
  <si>
    <t>LUIZ ROBERTO MORAES</t>
  </si>
  <si>
    <t>drogariaespacial@bol.com.br</t>
  </si>
  <si>
    <t>124.235.768-89</t>
  </si>
  <si>
    <t>00.628.454/0001-01</t>
  </si>
  <si>
    <t>DROGARIA ESPACIAL DE SAO BERNARDO DO CAMPO LTDA</t>
  </si>
  <si>
    <t>23046942</t>
  </si>
  <si>
    <t>11.368.920/0001-83</t>
  </si>
  <si>
    <t>FBISPO SOCIEDADE CONTABIL S S</t>
  </si>
  <si>
    <t>23047359</t>
  </si>
  <si>
    <t>AMANDA MARQUES CAMARGO SILVA</t>
  </si>
  <si>
    <t>betemarqus@hotmail.com</t>
  </si>
  <si>
    <t>325.804.478-30</t>
  </si>
  <si>
    <t>42.000.953/0001-08</t>
  </si>
  <si>
    <t>23047993</t>
  </si>
  <si>
    <t>HUGO DIEB DE ARAUJO</t>
  </si>
  <si>
    <t>hugodieb.hd@gmail.com</t>
  </si>
  <si>
    <t>247.073.088-05</t>
  </si>
  <si>
    <t>53.658.053/0001-60</t>
  </si>
  <si>
    <t>DAZLOJA COMERCIO ONLINE LTDA</t>
  </si>
  <si>
    <t>23051201</t>
  </si>
  <si>
    <t>GISELLE APARECIDA MADEIRA DIEHL</t>
  </si>
  <si>
    <t>angelglamloja@gmail.com</t>
  </si>
  <si>
    <t>509.839.558-59</t>
  </si>
  <si>
    <t>53.400.211/0001-88</t>
  </si>
  <si>
    <t>53 400 211 GISELLE APARECIDA MADEIRA DIEHL</t>
  </si>
  <si>
    <t>23057717</t>
  </si>
  <si>
    <t>FLAVIO ERNESTO ALVES PEREIRA</t>
  </si>
  <si>
    <t>flavioernestoap@gmail.com</t>
  </si>
  <si>
    <t>956.090.836-72</t>
  </si>
  <si>
    <t>03.441.504/0001-35</t>
  </si>
  <si>
    <t>19932442</t>
  </si>
  <si>
    <t>08/02/2025</t>
  </si>
  <si>
    <t>JUCILENE APARECIDA MARTENDAL</t>
  </si>
  <si>
    <t>jucilene@cmac.sc.gov.br</t>
  </si>
  <si>
    <t>031.070.939-39</t>
  </si>
  <si>
    <t>19967584</t>
  </si>
  <si>
    <t>VANESSA SALGUEIRO DE MELO</t>
  </si>
  <si>
    <t>vanessa.melo@tjmg.jus.br</t>
  </si>
  <si>
    <t>045.126.586-61</t>
  </si>
  <si>
    <t>20040608</t>
  </si>
  <si>
    <t>LUIGI CARLLI ARANTES BICALHO</t>
  </si>
  <si>
    <t>luigibicalho@gmail.com</t>
  </si>
  <si>
    <t>087.922.186-01</t>
  </si>
  <si>
    <t>20057207</t>
  </si>
  <si>
    <t>NILO MELO</t>
  </si>
  <si>
    <t>NILOMELOENGENHARIA@GMAIL.COM</t>
  </si>
  <si>
    <t>009.945.285-58</t>
  </si>
  <si>
    <t>15.060.967/0001-36</t>
  </si>
  <si>
    <t>ORCAMENTO PARA ACOMPANHAMENTO DE OBRAS LTDA</t>
  </si>
  <si>
    <t>22225834</t>
  </si>
  <si>
    <t>CLAITON PEREIRA DE FARIA</t>
  </si>
  <si>
    <t>201.020.206-63</t>
  </si>
  <si>
    <t>24.409.356/0001-41</t>
  </si>
  <si>
    <t>C P F IMOVEIS COMERCIAIS LTDA</t>
  </si>
  <si>
    <t>22305751</t>
  </si>
  <si>
    <t>ORLANDO JOSE ARMANDO FILHO</t>
  </si>
  <si>
    <t>l.a.j.r.1961@hotmail.com</t>
  </si>
  <si>
    <t>048.404.128-20</t>
  </si>
  <si>
    <t>09.662.606/0001-67</t>
  </si>
  <si>
    <t>AUTO MECANICA ARMANDO E ANDRADE LTDA</t>
  </si>
  <si>
    <t>23001021</t>
  </si>
  <si>
    <t>ALAYANA VIEIRA DE CARVALHO</t>
  </si>
  <si>
    <t>alayanav@gmail.com</t>
  </si>
  <si>
    <t>275.972.398-40</t>
  </si>
  <si>
    <t>32.448.746/0001-59</t>
  </si>
  <si>
    <t>P C PERSONAL CAR LTDA</t>
  </si>
  <si>
    <t>23010074</t>
  </si>
  <si>
    <t>JUSSARA RODRIGUES CAMPOS</t>
  </si>
  <si>
    <t>financeiro@clinicacotrel.com.br</t>
  </si>
  <si>
    <t>033.166.066-02</t>
  </si>
  <si>
    <t>65.058.406/0001-70</t>
  </si>
  <si>
    <t>COTREL ORTOPEDIA E FISIOTERAPIA LTDA</t>
  </si>
  <si>
    <t>23013548</t>
  </si>
  <si>
    <t>MARCO TULLIO MIRAGLIA NETO</t>
  </si>
  <si>
    <t>paula.souza@cimcop.com.br</t>
  </si>
  <si>
    <t>079.540.336-43</t>
  </si>
  <si>
    <t>53.497.735/0001-39</t>
  </si>
  <si>
    <t>AGUAS DE FLEXEIRAS SPE S A</t>
  </si>
  <si>
    <t>23019602</t>
  </si>
  <si>
    <t>EDGARD DE ARAUJO MITRE</t>
  </si>
  <si>
    <t>financeiro@emxtecnologia.com.br</t>
  </si>
  <si>
    <t>040.690.886-95</t>
  </si>
  <si>
    <t>32.767.186/0001-03</t>
  </si>
  <si>
    <t>NEXU TECNOLOGIA LTDA</t>
  </si>
  <si>
    <t>23019644</t>
  </si>
  <si>
    <t>19.960.342/0001-81</t>
  </si>
  <si>
    <t>EMX COMERCIO E SERVICOS DE TI LTDA</t>
  </si>
  <si>
    <t>23019668</t>
  </si>
  <si>
    <t>14.822.303/0001-02</t>
  </si>
  <si>
    <t>EMX TECNOLOGIA LTDA</t>
  </si>
  <si>
    <t>23027735</t>
  </si>
  <si>
    <t>JULIANA RESENDE DE SOUZA</t>
  </si>
  <si>
    <t>424.075.578-67</t>
  </si>
  <si>
    <t>53.501.978/0001-01</t>
  </si>
  <si>
    <t>SS SOUZA E SANCHEZ CONSULTORIA E ASSESSORIA EM IN</t>
  </si>
  <si>
    <t>23029798</t>
  </si>
  <si>
    <t>CLEBER GONZALES DE OLIVEIRA</t>
  </si>
  <si>
    <t>cleber.oliveira@ieee.org</t>
  </si>
  <si>
    <t>466.239.301-91</t>
  </si>
  <si>
    <t>07.056.619/0001-67</t>
  </si>
  <si>
    <t>COMAP COMERCIO DE PECAS E EQUIPAMENTOS LTDA</t>
  </si>
  <si>
    <t>23031264</t>
  </si>
  <si>
    <t>FABIANA MENDES VIEIRA</t>
  </si>
  <si>
    <t>252.493.308-35</t>
  </si>
  <si>
    <t>45.129.358/0001-57</t>
  </si>
  <si>
    <t>FABIANA MENDES VIEIRA OPTICA LTDA</t>
  </si>
  <si>
    <t>23035587</t>
  </si>
  <si>
    <t>WALDENE MARIA ROSSI GONCALVES</t>
  </si>
  <si>
    <t>adm@unikaconstrutora.com.br</t>
  </si>
  <si>
    <t>057.896.098-21</t>
  </si>
  <si>
    <t>13.099.245/0001-60</t>
  </si>
  <si>
    <t>UNIKA CONSTRUTORA E INCORPORADORA LTDA</t>
  </si>
  <si>
    <t>23036013</t>
  </si>
  <si>
    <t>CLAUDIA MAMMOCCIO</t>
  </si>
  <si>
    <t>129.895.138-09</t>
  </si>
  <si>
    <t>18.295.440/0001-89</t>
  </si>
  <si>
    <t>MAMMOCCIO E LEONARDI COMERCIO DE COLCHOES LTDA</t>
  </si>
  <si>
    <t>23036082</t>
  </si>
  <si>
    <t>JOSERCKIANA OLIVEIRA CORDEIRO</t>
  </si>
  <si>
    <t>418.317.563-15</t>
  </si>
  <si>
    <t>21.248.787/0001-85</t>
  </si>
  <si>
    <t>HOLE SHOT TRANSPORTE E REMOCAO DE VEICULO LTDA</t>
  </si>
  <si>
    <t>23036130</t>
  </si>
  <si>
    <t>19.774.072/0001-14</t>
  </si>
  <si>
    <t>MINAS CAR TRANSPORTE E REMOCAO DE VEICULO LTDA</t>
  </si>
  <si>
    <t>23039978</t>
  </si>
  <si>
    <t>SUZANA MARIA DE SOUZA VIEIRA</t>
  </si>
  <si>
    <t>contato@drasuzanavieira.med.br</t>
  </si>
  <si>
    <t>887.696.824-53</t>
  </si>
  <si>
    <t>23040793</t>
  </si>
  <si>
    <t>CARLOS ALBERTO MOYA</t>
  </si>
  <si>
    <t>contabilidade@moyacontabil.com.br</t>
  </si>
  <si>
    <t>767.470.858-68</t>
  </si>
  <si>
    <t>44.967.296/0001-90</t>
  </si>
  <si>
    <t>MOYA ORGANIZACAO CONTABIL ADMINISTRATIVA LTDA</t>
  </si>
  <si>
    <t>23041271</t>
  </si>
  <si>
    <t>VINICIUS SOARES DA SILVA</t>
  </si>
  <si>
    <t>350.744.658-85</t>
  </si>
  <si>
    <t>29.579.426/0001-23</t>
  </si>
  <si>
    <t>VIG S SERVICOS ADMINISTRATIVOS LTDA</t>
  </si>
  <si>
    <t>23041583</t>
  </si>
  <si>
    <t>KELLY CRISTINA AMARAL</t>
  </si>
  <si>
    <t>kelly.amaral@asg.com</t>
  </si>
  <si>
    <t>185.215.808-51</t>
  </si>
  <si>
    <t>04.010.181/0001-98</t>
  </si>
  <si>
    <t>ROCKET SOFTWARE DO BRASIL LTDA</t>
  </si>
  <si>
    <t>23041710</t>
  </si>
  <si>
    <t>RICARDO RIBEIRO VALENTE</t>
  </si>
  <si>
    <t>ricardorrv.bh@gmail.com</t>
  </si>
  <si>
    <t>354.760.446-04</t>
  </si>
  <si>
    <t>23.853.682/0001-80</t>
  </si>
  <si>
    <t>RRV COMERCIAL LIMITADA</t>
  </si>
  <si>
    <t>23044085</t>
  </si>
  <si>
    <t>RHAMON AUGUSTO DE OLIVEIRA</t>
  </si>
  <si>
    <t>085.084.906-31</t>
  </si>
  <si>
    <t>26.522.054/0001-00</t>
  </si>
  <si>
    <t>M O SAUDE ESPECIALIZADA LTDA</t>
  </si>
  <si>
    <t>23048357</t>
  </si>
  <si>
    <t>WILLIAN VICENTE SANTIAGO</t>
  </si>
  <si>
    <t>wwdivisorias@gmail.com</t>
  </si>
  <si>
    <t>376.334.898-04</t>
  </si>
  <si>
    <t>29.731.786/0001-07</t>
  </si>
  <si>
    <t>23054952</t>
  </si>
  <si>
    <t>ADRIANO DO NASCIMENTO RANEIA FONSECA</t>
  </si>
  <si>
    <t>335.636.288-74</t>
  </si>
  <si>
    <t>20.765.215/0001-00</t>
  </si>
  <si>
    <t>RANEIA TRANSPORTES LTDA</t>
  </si>
  <si>
    <t>23056528</t>
  </si>
  <si>
    <t>MARCELO BEZERRA DE ANDRADE DA MOTA</t>
  </si>
  <si>
    <t>268.319.678-41</t>
  </si>
  <si>
    <t>07.670.437/0001-81</t>
  </si>
  <si>
    <t>COMERCIAL ANDRADE MATERIAIS PARA CONSTRUCAO LTDA</t>
  </si>
  <si>
    <t>23056720</t>
  </si>
  <si>
    <t>DENILSON CORREIA DE FRANCA</t>
  </si>
  <si>
    <t>099.427.338-09</t>
  </si>
  <si>
    <t>55.058.432/0001-45</t>
  </si>
  <si>
    <t>WELL CLEAN LAVANDERIA E LIMPADORA LTDA</t>
  </si>
  <si>
    <t>23059482</t>
  </si>
  <si>
    <t>FABIO JOSE CABRAL DE LIRA</t>
  </si>
  <si>
    <t>adm@tavaresdelira.com.br</t>
  </si>
  <si>
    <t>052.733.258-54</t>
  </si>
  <si>
    <t>05.168.624/0001-36</t>
  </si>
  <si>
    <t>TAVARES DE LIRA COMERCIAL LTDA</t>
  </si>
  <si>
    <t>23060139</t>
  </si>
  <si>
    <t>RYAN MARTINS CHAGAS</t>
  </si>
  <si>
    <t>bidiansouza2012@gmail.com</t>
  </si>
  <si>
    <t>468.168.028-10</t>
  </si>
  <si>
    <t>23060503</t>
  </si>
  <si>
    <t>MANUELLA GIULIA BOSCHETTI ROSATTI</t>
  </si>
  <si>
    <t>godonutsjc@gmail.com</t>
  </si>
  <si>
    <t>472.073.048-54</t>
  </si>
  <si>
    <t>52.222.446/0001-64</t>
  </si>
  <si>
    <t>52 222 446 MANUELLA GIULIA BOSCHETTI ROSATTI</t>
  </si>
  <si>
    <t>23062184</t>
  </si>
  <si>
    <t>FABIANA DA SILVA JARMOLINSKI</t>
  </si>
  <si>
    <t>fabisilvajarmolinski@gmail.com</t>
  </si>
  <si>
    <t>043.178.044-76</t>
  </si>
  <si>
    <t>19404505</t>
  </si>
  <si>
    <t>09/02/2025</t>
  </si>
  <si>
    <t>JOSE CARLOS PEREIRA</t>
  </si>
  <si>
    <t>jose.pereira@mercantil.com.br</t>
  </si>
  <si>
    <t>516.457.776-34</t>
  </si>
  <si>
    <t>20009874</t>
  </si>
  <si>
    <t>GEOVANI PINHEIRO DE ALMEIDA</t>
  </si>
  <si>
    <t>geovani@joacel.com</t>
  </si>
  <si>
    <t>047.699.568-00</t>
  </si>
  <si>
    <t>20055053</t>
  </si>
  <si>
    <t>MARCIO DIMO</t>
  </si>
  <si>
    <t>089.125.718-77</t>
  </si>
  <si>
    <t>96.264.874/0001-25</t>
  </si>
  <si>
    <t>RECAUCENTER PNEUS EIRELI</t>
  </si>
  <si>
    <t>23037748</t>
  </si>
  <si>
    <t>SIDNEY DE JESUS</t>
  </si>
  <si>
    <t>sidney.d.j@hotmail.com</t>
  </si>
  <si>
    <t>270.720.358-00</t>
  </si>
  <si>
    <t>24.191.086/0001-45</t>
  </si>
  <si>
    <t>24 191 086 SIDNEY DE JESUS</t>
  </si>
  <si>
    <t>20038621</t>
  </si>
  <si>
    <t>10/02/2025</t>
  </si>
  <si>
    <t>GUILHERME FREDERICO DE CARVALHO MOTA</t>
  </si>
  <si>
    <t>comercial1dibh@gmail.com</t>
  </si>
  <si>
    <t>069.607.136-33</t>
  </si>
  <si>
    <t>26.836.356/0001-53</t>
  </si>
  <si>
    <t>KRG2 PRODUTOS DE LIMPEZA HIGIENE E CONSERVACAO LT</t>
  </si>
  <si>
    <t>20063068</t>
  </si>
  <si>
    <t>Sabrina Bonfim de Arruda Pinto</t>
  </si>
  <si>
    <t>sabrpint@trf3.jus.br</t>
  </si>
  <si>
    <t>Ponto de Atendimento AR Certifast - Jundiai Centro/SP - Jus</t>
  </si>
  <si>
    <t>927.660.131-72</t>
  </si>
  <si>
    <t>20072285</t>
  </si>
  <si>
    <t>MARCIO APARECIDO DO NASCIMENTO</t>
  </si>
  <si>
    <t>CANNONDOBRASIL@CANNON.COM</t>
  </si>
  <si>
    <t>271.221.658-09</t>
  </si>
  <si>
    <t>20077759</t>
  </si>
  <si>
    <t>ISABELLA DE SA TEIXEIRA</t>
  </si>
  <si>
    <t>isabella_sa_teixeira@yahoo.com.br</t>
  </si>
  <si>
    <t>119.317.536-44</t>
  </si>
  <si>
    <t>20081067</t>
  </si>
  <si>
    <t>DANIEL GODOI PEAGNO</t>
  </si>
  <si>
    <t>DANIEL.PEAGNO@GMAIL.COM</t>
  </si>
  <si>
    <t>265.925.828-71</t>
  </si>
  <si>
    <t>07.351.024/0001-34</t>
  </si>
  <si>
    <t>PEAGNO SERVICOS EMPRESARIAIS LTDA</t>
  </si>
  <si>
    <t>23057751</t>
  </si>
  <si>
    <t>THIFANY XAVIER BRAVO DO NASCIMENTO</t>
  </si>
  <si>
    <t>guilherme.pereirinha@hotmail.com</t>
  </si>
  <si>
    <t>476.390.368-36</t>
  </si>
  <si>
    <t>20076156</t>
  </si>
  <si>
    <t>11/02/2025</t>
  </si>
  <si>
    <t>WAGNER MENDONCA BOSQUE</t>
  </si>
  <si>
    <t>wagner.bosque@tjmg.jus.br</t>
  </si>
  <si>
    <t>052.615.056-40</t>
  </si>
  <si>
    <t>23035714</t>
  </si>
  <si>
    <t>FABIO DOS SANTOS BRAZ</t>
  </si>
  <si>
    <t>fs5157154@gmail.com</t>
  </si>
  <si>
    <t>121.094.996-21</t>
  </si>
  <si>
    <t>44.923.275/0001-72</t>
  </si>
  <si>
    <t>FS PINTURAS E REFORMAS LTDA</t>
  </si>
  <si>
    <t>23044301</t>
  </si>
  <si>
    <t>DANIEL DALTIO MAGRO</t>
  </si>
  <si>
    <t>danieldaltio@gmail.com</t>
  </si>
  <si>
    <t>381.527.588-17</t>
  </si>
  <si>
    <t>44.156.548/0001-09</t>
  </si>
  <si>
    <t>23051199</t>
  </si>
  <si>
    <t>JUAN JOSE SOLORZANO OJEDA</t>
  </si>
  <si>
    <t>jsolorzanobr@gmail.com</t>
  </si>
  <si>
    <t>240.346.648-43</t>
  </si>
  <si>
    <t>52.187.266/0001-99</t>
  </si>
  <si>
    <t>52 187 266 JUAN JOSE SOLORZANO OJEDA</t>
  </si>
  <si>
    <t>23060419</t>
  </si>
  <si>
    <t>LUCIA HELENA SOLCIA CRISOSTO</t>
  </si>
  <si>
    <t>246.022.318-88</t>
  </si>
  <si>
    <t>17.716.918/0001-34</t>
  </si>
  <si>
    <t>VENETO EMPREENDIMENTOS E PARTICIPACOES S A</t>
  </si>
  <si>
    <t>22998522</t>
  </si>
  <si>
    <t>12/02/2025</t>
  </si>
  <si>
    <t>MARCOS PAULO BARBOSA DE CAMPOS</t>
  </si>
  <si>
    <t>marcos@avantesystem.com.br</t>
  </si>
  <si>
    <t>430.269.298-75</t>
  </si>
  <si>
    <t>43.501.470/0001-41</t>
  </si>
  <si>
    <t>MARCOS PAULO DE CAMPOS 43026929875</t>
  </si>
  <si>
    <t>23062317</t>
  </si>
  <si>
    <t>BRUNO ALVES DA ROSA</t>
  </si>
  <si>
    <t>brunoar86.13@gmail.com</t>
  </si>
  <si>
    <t>341.711.958-88</t>
  </si>
  <si>
    <t>23064471</t>
  </si>
  <si>
    <t>Adriano Luis De Souza</t>
  </si>
  <si>
    <t>unishop.itupeva@gmail.com</t>
  </si>
  <si>
    <t>277.754.208-20</t>
  </si>
  <si>
    <t>53.500.408/0001-99</t>
  </si>
  <si>
    <t>Instaclean Comercio De Produtos de Limpeza Ltda</t>
  </si>
  <si>
    <t>23065768</t>
  </si>
  <si>
    <t>KERLY ROSA DOS REIS SANTOS</t>
  </si>
  <si>
    <t>jussara.fernandes@camfer.com.br</t>
  </si>
  <si>
    <t>863.837.601-49</t>
  </si>
  <si>
    <t>49.177.543/0001-78</t>
  </si>
  <si>
    <t>ELETRONS MANUTENCAO E AUTOMACAO INDUSTRIAL LTDA</t>
  </si>
  <si>
    <t>20061527</t>
  </si>
  <si>
    <t>13/02/2025</t>
  </si>
  <si>
    <t>YUMIKO NAKAMURA KAKAZU</t>
  </si>
  <si>
    <t>cwmassessoria@gmail.com</t>
  </si>
  <si>
    <t>PONTO DE ATENDIMENTO AR CERTIFAST - CWM/SP</t>
  </si>
  <si>
    <t>097.095.638-07</t>
  </si>
  <si>
    <t>12.365.765/0001-04</t>
  </si>
  <si>
    <t>PASTELARIA N KAKAZU LTDA</t>
  </si>
  <si>
    <t>20078044</t>
  </si>
  <si>
    <t>ERICA WITHAAR</t>
  </si>
  <si>
    <t>ERICA.WITHAAR@EMBRAER.NET.BR</t>
  </si>
  <si>
    <t>278.788.268-46</t>
  </si>
  <si>
    <t>20079504</t>
  </si>
  <si>
    <t>FLAVIO AUGUSTO LACERDA DE FARIAS</t>
  </si>
  <si>
    <t>flavio.augusto.farias@hotmail.com</t>
  </si>
  <si>
    <t>781.075.205-72</t>
  </si>
  <si>
    <t>22939869</t>
  </si>
  <si>
    <t>KAROLY GRACIELE DE OLIVEIRA</t>
  </si>
  <si>
    <t>valefix.comercial@gmail.com</t>
  </si>
  <si>
    <t>493.150.598-83</t>
  </si>
  <si>
    <t>45.318.418/0001-80</t>
  </si>
  <si>
    <t>KAROLY GRACIELE DE OLIVEIRA 49315059883</t>
  </si>
  <si>
    <t>22961255</t>
  </si>
  <si>
    <t>DIEGO GRANADO VALLINI</t>
  </si>
  <si>
    <t>obarabrasilfilial@obarabrasil.com.br</t>
  </si>
  <si>
    <t>004.635.949-40</t>
  </si>
  <si>
    <t>21.272.161/0002-95</t>
  </si>
  <si>
    <t>OBARA TECNOLOGIAS E PRODUTOS DE SOLDAGEM LTDA</t>
  </si>
  <si>
    <t>23030364</t>
  </si>
  <si>
    <t>TIAGO FELIX DA SILVA</t>
  </si>
  <si>
    <t>tiago@alvarenga.org.br</t>
  </si>
  <si>
    <t>320.118.338-50</t>
  </si>
  <si>
    <t>23048058</t>
  </si>
  <si>
    <t>ANDREIA PAIVA MONTEIRO</t>
  </si>
  <si>
    <t>advandreiapaiva@gmail.com</t>
  </si>
  <si>
    <t>192.442.538-60</t>
  </si>
  <si>
    <t>35.579.519/0001-50</t>
  </si>
  <si>
    <t>ANDREIA PAIVA SOCIEDADE INDIVIDUAL DE ADVOCACIA</t>
  </si>
  <si>
    <t>23049686</t>
  </si>
  <si>
    <t>ALEXANDRE SILVIO DE CARVALHO</t>
  </si>
  <si>
    <t>alexandre.carvalho77@hotmail.com</t>
  </si>
  <si>
    <t>201.857.728-03</t>
  </si>
  <si>
    <t>38.337.001/0001-07</t>
  </si>
  <si>
    <t>ALEXANDRE SILVIO DE CARVALHO 20185772803</t>
  </si>
  <si>
    <t>23051728</t>
  </si>
  <si>
    <t>CARLOS RENAN RODRIGUES ALVES</t>
  </si>
  <si>
    <t>433.924.848-73</t>
  </si>
  <si>
    <t>32.702.009/0001-30</t>
  </si>
  <si>
    <t>CR COMMERCE LTDA</t>
  </si>
  <si>
    <t>23053851</t>
  </si>
  <si>
    <t>RAFAEL DJONES DOS ANJOS ALECRIM</t>
  </si>
  <si>
    <t>380.744.348-77</t>
  </si>
  <si>
    <t>37.339.077/0001-09</t>
  </si>
  <si>
    <t>RJL COMERCIO DE COLCHOES LTDA</t>
  </si>
  <si>
    <t>23056599</t>
  </si>
  <si>
    <t>ERICA SGANZELA REIS</t>
  </si>
  <si>
    <t>205.208.418-59</t>
  </si>
  <si>
    <t>11.606.632/0001-10</t>
  </si>
  <si>
    <t>ADAPT TRANSPORTE E TURISMO LTDA</t>
  </si>
  <si>
    <t>23056949</t>
  </si>
  <si>
    <t>GABRIEL PEREIRA CAMARGO</t>
  </si>
  <si>
    <t>gabrielpereiracamargo@hotmail.com</t>
  </si>
  <si>
    <t>413.294.588-00</t>
  </si>
  <si>
    <t>51.931.773/0001-22</t>
  </si>
  <si>
    <t>51 931 773 GABRIEL PEREIRA CAMARGO</t>
  </si>
  <si>
    <t>23056965</t>
  </si>
  <si>
    <t>SIMONE ALVES PEREIRA</t>
  </si>
  <si>
    <t>zanottoequip@novaprotect.com.br</t>
  </si>
  <si>
    <t>290.023.348-85</t>
  </si>
  <si>
    <t>53.593.375/0001-79</t>
  </si>
  <si>
    <t>ZANOTTO EQUIPAMENTOS DE PROTECAO INDIVIDUAL LTDA</t>
  </si>
  <si>
    <t>23058249</t>
  </si>
  <si>
    <t>11.606.632/0002-09</t>
  </si>
  <si>
    <t>23060050</t>
  </si>
  <si>
    <t>ELIANE DE OLIVEIRA SILVA RIBEIRO</t>
  </si>
  <si>
    <t>rrmolas@hotmail.com</t>
  </si>
  <si>
    <t>140.491.528-19</t>
  </si>
  <si>
    <t>08.196.616/0001-91</t>
  </si>
  <si>
    <t>RR MOLAS DO ABC LTDA</t>
  </si>
  <si>
    <t>23061464</t>
  </si>
  <si>
    <t>GERSON ALVES DE SOUZA JUNIOR</t>
  </si>
  <si>
    <t>motorsoriente@gmail.com</t>
  </si>
  <si>
    <t>291.594.968-94</t>
  </si>
  <si>
    <t>45.206.428/0001-23</t>
  </si>
  <si>
    <t>ORIENTE MOTORS INTERMEDIACOES LTDA</t>
  </si>
  <si>
    <t>23065249</t>
  </si>
  <si>
    <t>JEOVAN SILVA SANTOS</t>
  </si>
  <si>
    <t>convencaocime@gmail.com</t>
  </si>
  <si>
    <t>310.505.538-02</t>
  </si>
  <si>
    <t>52.530.120/0001-02</t>
  </si>
  <si>
    <t>TEMPLO APOSTOLICO MISSAO SHEKINAH</t>
  </si>
  <si>
    <t>20028487</t>
  </si>
  <si>
    <t>14/02/2025</t>
  </si>
  <si>
    <t>VANESSA CARDOSO</t>
  </si>
  <si>
    <t>MARCONTABILIDADE@TERRA.COM.BR</t>
  </si>
  <si>
    <t>255.760.418-60</t>
  </si>
  <si>
    <t>50.145.093/0001-10</t>
  </si>
  <si>
    <t>APM DA ESCOLA ESTADUAL DR FAUSTO CARDOSO FIGUEIRA</t>
  </si>
  <si>
    <t>20057804</t>
  </si>
  <si>
    <t>MARINA PASSAGLI VALENTE GALLO</t>
  </si>
  <si>
    <t>RRVCOMAL@GMAIL.COM</t>
  </si>
  <si>
    <t>058.887.016-10</t>
  </si>
  <si>
    <t>08.182.225/0001-18</t>
  </si>
  <si>
    <t>ACESSORIOS DE MODA RRV LTDA</t>
  </si>
  <si>
    <t>20091258</t>
  </si>
  <si>
    <t>LEONARDO GUIMARAES MOREIRA</t>
  </si>
  <si>
    <t>leonardo.moreira@tjmg.jus.br</t>
  </si>
  <si>
    <t>033.422.276-13</t>
  </si>
  <si>
    <t>22984475</t>
  </si>
  <si>
    <t>RODRIGO ALVES FERREIRA</t>
  </si>
  <si>
    <t>alvesferreirarodrigo1@gmail.com</t>
  </si>
  <si>
    <t>335.410.818-56</t>
  </si>
  <si>
    <t>45.144.048/0001-01</t>
  </si>
  <si>
    <t>45 144 048 RODRIGO ALVES FERREIRA</t>
  </si>
  <si>
    <t>22985886</t>
  </si>
  <si>
    <t>MARCIA CAMARA DE CASTRO OLIVEIRA BELLOTTI</t>
  </si>
  <si>
    <t>886.679.287-04</t>
  </si>
  <si>
    <t>44.945.599/0001-01</t>
  </si>
  <si>
    <t>OLIBE MEDIACAO E DIREITOS HUMANOS LTDA</t>
  </si>
  <si>
    <t>23021458</t>
  </si>
  <si>
    <t>DALTON PIRES DEL OLMO</t>
  </si>
  <si>
    <t>cleia@alindustria.com.br</t>
  </si>
  <si>
    <t>269.798.278-71</t>
  </si>
  <si>
    <t>44.190.799/0001-00</t>
  </si>
  <si>
    <t>A L COMERCIO DE SUCATA E ALUMINIO LTDA</t>
  </si>
  <si>
    <t>23023080</t>
  </si>
  <si>
    <t>53.502.678/0001-39</t>
  </si>
  <si>
    <t>PROVISERV SERVICOS LTDA</t>
  </si>
  <si>
    <t>23038340</t>
  </si>
  <si>
    <t>LEANDRO NOBREGA DE MELO</t>
  </si>
  <si>
    <t>robertogazola.rg@gmail.com</t>
  </si>
  <si>
    <t>297.535.278-61</t>
  </si>
  <si>
    <t>35.947.924/0001-84</t>
  </si>
  <si>
    <t>DIAMANTE ADMINISTRACAO LTDA</t>
  </si>
  <si>
    <t>23044308</t>
  </si>
  <si>
    <t>ANDRESSA LEANDRA DE OLIVEIRA</t>
  </si>
  <si>
    <t>lojababytour@gmail.com</t>
  </si>
  <si>
    <t>384.836.278-33</t>
  </si>
  <si>
    <t>48.417.738/0001-85</t>
  </si>
  <si>
    <t>ANDRESSA LEANDRA DE OLIVEIRA 38483627833</t>
  </si>
  <si>
    <t>23049748</t>
  </si>
  <si>
    <t>RAPHAEL HENRIQUE CREPALDI</t>
  </si>
  <si>
    <t>342.765.448-66</t>
  </si>
  <si>
    <t>37.533.921/0001-20</t>
  </si>
  <si>
    <t>CREPALDI LIMEIRA COMERCIO DE COLCHOES LTDA</t>
  </si>
  <si>
    <t>23056054</t>
  </si>
  <si>
    <t>NATIELLY DANIG MADEIRA</t>
  </si>
  <si>
    <t>natydanig@yahoo.com.br</t>
  </si>
  <si>
    <t>083.285.326-70</t>
  </si>
  <si>
    <t>17.654.149/0001-97</t>
  </si>
  <si>
    <t>SORRIMAIS ODONTOLOGIA INTEGRADA LTDA</t>
  </si>
  <si>
    <t>23062160</t>
  </si>
  <si>
    <t>GLAUCIO PAIVA ATHAYDE</t>
  </si>
  <si>
    <t>068.409.047-33</t>
  </si>
  <si>
    <t>35.521.458/0001-70</t>
  </si>
  <si>
    <t>GRL PARTICIPACOESES E INVESTIMENTOS LTDA</t>
  </si>
  <si>
    <t>23064284</t>
  </si>
  <si>
    <t>BRUNA GUEDES VIRGILIO</t>
  </si>
  <si>
    <t>411.590.008-32</t>
  </si>
  <si>
    <t>45.123.914/0001-88</t>
  </si>
  <si>
    <t>BRUNA GUEDES VIRGILIO OPTICA LTDA</t>
  </si>
  <si>
    <t>23064337</t>
  </si>
  <si>
    <t>SHEYLA DA SILVA GOMES AUGUSTO</t>
  </si>
  <si>
    <t>246.791.838-61</t>
  </si>
  <si>
    <t>13.754.034/0001-13</t>
  </si>
  <si>
    <t>SG4 INVESTIMENTOS E PARTICIPACOES LTDA</t>
  </si>
  <si>
    <t>23064872</t>
  </si>
  <si>
    <t>23066050</t>
  </si>
  <si>
    <t>LUIZ ANTONIO DA SILVA VITALI</t>
  </si>
  <si>
    <t>275.823.178-66</t>
  </si>
  <si>
    <t>53.721.870/0001-16</t>
  </si>
  <si>
    <t>E L TUR LOCADORA LTDA</t>
  </si>
  <si>
    <t>23066853</t>
  </si>
  <si>
    <t>CAIO VICTOR MENDES PAULA</t>
  </si>
  <si>
    <t>victor.caio@outlook.com</t>
  </si>
  <si>
    <t>434.374.268-77</t>
  </si>
  <si>
    <t>53.530.570/0001-50</t>
  </si>
  <si>
    <t>53 530 570 CAIO VICTOR MENDES PAULA</t>
  </si>
  <si>
    <t>23067108</t>
  </si>
  <si>
    <t>RENATA KIMIE IWAMOTO</t>
  </si>
  <si>
    <t>rafaelmarrese@gmail.com</t>
  </si>
  <si>
    <t>291.707.668-27</t>
  </si>
  <si>
    <t>23067941</t>
  </si>
  <si>
    <t>CAMILA FELIX DE CARVALHO</t>
  </si>
  <si>
    <t>camilafdecarvalho@outlook.com</t>
  </si>
  <si>
    <t>353.881.848-70</t>
  </si>
  <si>
    <t>47.444.136/0001-54</t>
  </si>
  <si>
    <t>47 444 136 CAMILA FELIX DE CARVALHO</t>
  </si>
  <si>
    <t>23068931</t>
  </si>
  <si>
    <t>ARNALDO TADEU LEONE JUNIOR</t>
  </si>
  <si>
    <t>arnaldo@aldox.com.br</t>
  </si>
  <si>
    <t>271.646.808-76</t>
  </si>
  <si>
    <t>23.343.997/0001-88</t>
  </si>
  <si>
    <t>23070057</t>
  </si>
  <si>
    <t>CLEONICE BATISTA MORAES DA SILVA</t>
  </si>
  <si>
    <t>solucoessetorjuridico@gmail.com</t>
  </si>
  <si>
    <t>258.405.278-40</t>
  </si>
  <si>
    <t>13.683.893/0001-69</t>
  </si>
  <si>
    <t>SOLUCOES CONTABEIS ASSESSORIA CONTABIL E EMPRESAR</t>
  </si>
  <si>
    <t>23070851</t>
  </si>
  <si>
    <t>ROBERTO CARRANZA DE CARVALHO BRAGA</t>
  </si>
  <si>
    <t>rubbermaiden@gmail.com</t>
  </si>
  <si>
    <t>132.564.148-00</t>
  </si>
  <si>
    <t>23071026</t>
  </si>
  <si>
    <t>LAURIANO TEIXEIRA DOS SANTOS</t>
  </si>
  <si>
    <t>laurianotx@gmail.com</t>
  </si>
  <si>
    <t>455.592.698-67</t>
  </si>
  <si>
    <t>28.855.345/0001-46</t>
  </si>
  <si>
    <t>LAURIANO TEIXEIRA DOS SANTOS 45559269867</t>
  </si>
  <si>
    <t>23071455</t>
  </si>
  <si>
    <t>PAULO SERGIO DE SIQUEIRA</t>
  </si>
  <si>
    <t>provalequimica@gmail.com</t>
  </si>
  <si>
    <t>081.289.208-98</t>
  </si>
  <si>
    <t>15.783.935/0001-69</t>
  </si>
  <si>
    <t>PROVALE LTDA</t>
  </si>
  <si>
    <t>23072803</t>
  </si>
  <si>
    <t>MAVILIN BORGES DA SILVA CRISTOFALO</t>
  </si>
  <si>
    <t>425.770.368-76</t>
  </si>
  <si>
    <t>53.557.199/0001-10</t>
  </si>
  <si>
    <t>53 557 199 MAVILIN BORGES DA SILVA CRISTOFALO</t>
  </si>
  <si>
    <t>23075671</t>
  </si>
  <si>
    <t>YURI MARQUES</t>
  </si>
  <si>
    <t>marquesyuri@gmail.com</t>
  </si>
  <si>
    <t>080.448.067-25</t>
  </si>
  <si>
    <t>Ingrid</t>
  </si>
  <si>
    <t>Isabella</t>
  </si>
  <si>
    <t>Alexandre</t>
  </si>
  <si>
    <t>Rogério</t>
  </si>
  <si>
    <t>Leandro</t>
  </si>
  <si>
    <t>Rafael</t>
  </si>
  <si>
    <t>DDD</t>
  </si>
  <si>
    <t>Numero</t>
  </si>
  <si>
    <t>20095655</t>
  </si>
  <si>
    <t>15/02/2025</t>
  </si>
  <si>
    <t>JOELANE MIRELE SILVA DOS SANTOS</t>
  </si>
  <si>
    <t>joelanemireli@hotmail.com</t>
  </si>
  <si>
    <t>20096841</t>
  </si>
  <si>
    <t>Ana Paula Pires de Almeida</t>
  </si>
  <si>
    <t>apalmeid@trf3.jus.br</t>
  </si>
  <si>
    <t>20099123</t>
  </si>
  <si>
    <t>FLAVIA MARIA SILVA DE CARVALHO SOUZA PAIVA</t>
  </si>
  <si>
    <t>iro1secretaria@tjmg.jus.br</t>
  </si>
  <si>
    <t>22981524</t>
  </si>
  <si>
    <t>CAIO DA FONSECA LAMPOGLIA</t>
  </si>
  <si>
    <t>caio.lampoglia@giolaser.com.br</t>
  </si>
  <si>
    <t>23014757</t>
  </si>
  <si>
    <t>LORENA FRANCA CALDEIRA SALES CORREA</t>
  </si>
  <si>
    <t>bernardoc@lfipropaganda.com.br</t>
  </si>
  <si>
    <t>23037227</t>
  </si>
  <si>
    <t>ANA CAROLINA BRITO DE OLIVEIRA</t>
  </si>
  <si>
    <t>23060009</t>
  </si>
  <si>
    <t>KEILA MALVEZZI DA SILVA</t>
  </si>
  <si>
    <t>23060010</t>
  </si>
  <si>
    <t>KAROL MALVEZZI DA SILVA</t>
  </si>
  <si>
    <t>23060044</t>
  </si>
  <si>
    <t>LUCIENE FERNANDES DA SILVA</t>
  </si>
  <si>
    <t>23062452</t>
  </si>
  <si>
    <t>ELDA MALVEZZI DA SILVA</t>
  </si>
  <si>
    <t>23062909</t>
  </si>
  <si>
    <t>23063615</t>
  </si>
  <si>
    <t>MARCOS APARECIDO GONCALVES DE ALMEIDA</t>
  </si>
  <si>
    <t>23064787</t>
  </si>
  <si>
    <t>LUCAS VAZ FERREIRA PINTO</t>
  </si>
  <si>
    <t>lucasvazferreirapinto@gmail.com</t>
  </si>
  <si>
    <t>23064789</t>
  </si>
  <si>
    <t>23069103</t>
  </si>
  <si>
    <t>EMILY CARANO DA SILVA LEITE</t>
  </si>
  <si>
    <t>23072536</t>
  </si>
  <si>
    <t>ROBERTO MELLAO</t>
  </si>
  <si>
    <t>melrob@live.com</t>
  </si>
  <si>
    <t>23076073</t>
  </si>
  <si>
    <t>23076127</t>
  </si>
  <si>
    <t>CHRISTIANE ANDRADE UZEDA GOMES</t>
  </si>
  <si>
    <t>23077215</t>
  </si>
  <si>
    <t>CRISTIANO CALDEIRA ARAUJO</t>
  </si>
  <si>
    <t>gerencia.hemotech@gmail.com</t>
  </si>
  <si>
    <t>23078558</t>
  </si>
  <si>
    <t>ARIANE MIRELA DA SILVA DE SOUZA</t>
  </si>
  <si>
    <t>michael1ariane@gmail.com</t>
  </si>
  <si>
    <t>23080708</t>
  </si>
  <si>
    <t>DANIEL FRANCISCO WALCKIERS CLEMENTINO</t>
  </si>
  <si>
    <t>contato@amigosuporte.com.br</t>
  </si>
  <si>
    <t>20060334</t>
  </si>
  <si>
    <t>16/02/2025</t>
  </si>
  <si>
    <t>MARCIO ESMERINO LEITE RIBEIRO</t>
  </si>
  <si>
    <t>sducarmo100@gmail.com</t>
  </si>
  <si>
    <t>20094966</t>
  </si>
  <si>
    <t>DANIELLE CAMPOS ARAUJO</t>
  </si>
  <si>
    <t>DANNI.CAMPOS@HOTMAIL.COM</t>
  </si>
  <si>
    <t>20099117</t>
  </si>
  <si>
    <t>BRUNO VALERIO HENRIQUE</t>
  </si>
  <si>
    <t>brunovhenrique@gmail.com</t>
  </si>
  <si>
    <t>20107813</t>
  </si>
  <si>
    <t>LEILA CRISTINA ANTUNES DAVID</t>
  </si>
  <si>
    <t>leiladavid052@gmail.com</t>
  </si>
  <si>
    <t>20108089</t>
  </si>
  <si>
    <t>MARINA DE OLIVEIRA NAKABAYASHI</t>
  </si>
  <si>
    <t>MARINA.NAKABAYASHI@MERCK.COM</t>
  </si>
  <si>
    <t>20110636</t>
  </si>
  <si>
    <t>PATRICK OLIVEIRA DA SILVA</t>
  </si>
  <si>
    <t>PATRICKDEOLIVA85@HOTMAIL.COM</t>
  </si>
  <si>
    <t>23032661</t>
  </si>
  <si>
    <t>MAGNER ALANDEY DANTAS DA SILVA</t>
  </si>
  <si>
    <t>magner.dantas@gmail.com</t>
  </si>
  <si>
    <t>23066850</t>
  </si>
  <si>
    <t>FABIO MORENO FERREIRA</t>
  </si>
  <si>
    <t>contato@geeklandia.com.br</t>
  </si>
  <si>
    <t>23068853</t>
  </si>
  <si>
    <t>MARCOS ANTONIO FLORES GONCALVES</t>
  </si>
  <si>
    <t>marcos.goncalves@solucx.com.br</t>
  </si>
  <si>
    <t>19247552</t>
  </si>
  <si>
    <t>17/02/2025</t>
  </si>
  <si>
    <t>ALLAN PIRES FERNANDES</t>
  </si>
  <si>
    <t>allan.fernandes@tjmg.jus.br</t>
  </si>
  <si>
    <t>20003379</t>
  </si>
  <si>
    <t>BARBARA BARBOSA DIAS DOS ANJOS</t>
  </si>
  <si>
    <t>barbara.anjos@fjp.mg.gov.br</t>
  </si>
  <si>
    <t>20049525</t>
  </si>
  <si>
    <t>BEATRIZ KERR DE MENDONCA</t>
  </si>
  <si>
    <t>BEATRIZKERR@HOTMAIL.COM</t>
  </si>
  <si>
    <t>20058612</t>
  </si>
  <si>
    <t>VALTER GURFINKEL</t>
  </si>
  <si>
    <t>contato@medicosperitos.com.br</t>
  </si>
  <si>
    <t>20065499</t>
  </si>
  <si>
    <t>CLELIA LEITE CARVALHO XAVIER</t>
  </si>
  <si>
    <t>3arquitetosassociados@gmail.com</t>
  </si>
  <si>
    <t>20108550</t>
  </si>
  <si>
    <t>GEORGE ABI RIHAN CORDEIRO</t>
  </si>
  <si>
    <t>GARC@TERRA.COM.BR</t>
  </si>
  <si>
    <t>20101446</t>
  </si>
  <si>
    <t>18/02/2025</t>
  </si>
  <si>
    <t>EVANDRO NOBREGA AZINHEIRA</t>
  </si>
  <si>
    <t>evandro@eazseguros.com.br</t>
  </si>
  <si>
    <t>23009851</t>
  </si>
  <si>
    <t>OTHON SERGIO GODINHO</t>
  </si>
  <si>
    <t>othonsergio@internacionalnet.com.br</t>
  </si>
  <si>
    <t>23014515</t>
  </si>
  <si>
    <t>FELIPPE JOSE RANIERI MENDES DOS SANTOS</t>
  </si>
  <si>
    <t>ranieri.felippe@gmail.com</t>
  </si>
  <si>
    <t>23037542</t>
  </si>
  <si>
    <t>EDMILSON SENA DA SILVA</t>
  </si>
  <si>
    <t>ed.sena747@gmail.com</t>
  </si>
  <si>
    <t>23047796</t>
  </si>
  <si>
    <t>NATALIA REIS FRAGA</t>
  </si>
  <si>
    <t>tatianaluzi@hotmail.com</t>
  </si>
  <si>
    <t>23049292</t>
  </si>
  <si>
    <t>THAIS DRESSLER MARQUES</t>
  </si>
  <si>
    <t>thaisdressler@hotmail.com</t>
  </si>
  <si>
    <t>23053908</t>
  </si>
  <si>
    <t>ANDERSON CASTRO</t>
  </si>
  <si>
    <t>23056529</t>
  </si>
  <si>
    <t>THAIS RIBEIRO DOMICIANO</t>
  </si>
  <si>
    <t>23059809</t>
  </si>
  <si>
    <t>PATRICIA DO VALE MOORE</t>
  </si>
  <si>
    <t>contato@marikotajogos.com.br</t>
  </si>
  <si>
    <t>23066329</t>
  </si>
  <si>
    <t>23067067</t>
  </si>
  <si>
    <t>GERALDO AUGUSTO DE SOUZA</t>
  </si>
  <si>
    <t>23067123</t>
  </si>
  <si>
    <t>ROSA NEIDE PEREIRA MENDES DE SOUZA</t>
  </si>
  <si>
    <t>23068574</t>
  </si>
  <si>
    <t>ROSIMEIRE ZAN DE CAMARGO</t>
  </si>
  <si>
    <t>23069009</t>
  </si>
  <si>
    <t>FABIANO DE ARAGAO SANTOS</t>
  </si>
  <si>
    <t>faaragao2017@gmail.com</t>
  </si>
  <si>
    <t>23072637</t>
  </si>
  <si>
    <t>PATRICIA JARJOUR BARRETO TAVARES</t>
  </si>
  <si>
    <t>iago@hammertec.com.br</t>
  </si>
  <si>
    <t>23077040</t>
  </si>
  <si>
    <t>LUDMILA FERREIRA DE SOUZA</t>
  </si>
  <si>
    <t>alexandre@relevantecontabil.com.br</t>
  </si>
  <si>
    <t>23078157</t>
  </si>
  <si>
    <t>TAMAR BERNARDO DE SOUZA VITUZZO</t>
  </si>
  <si>
    <t>fiscal@mvituzzo.com.br</t>
  </si>
  <si>
    <t>23078268</t>
  </si>
  <si>
    <t>BRUNO HENRIQUE CURSINO DE OLIVEIRA</t>
  </si>
  <si>
    <t>bruno@simservices.com.br</t>
  </si>
  <si>
    <t>23078405</t>
  </si>
  <si>
    <t>MARCOS DE MORAES</t>
  </si>
  <si>
    <t>23079553</t>
  </si>
  <si>
    <t>FELIPE DOUGLAS GONCALVES</t>
  </si>
  <si>
    <t>fdgoncalvez@gmail.com</t>
  </si>
  <si>
    <t>23080010</t>
  </si>
  <si>
    <t>EDUARDO DE SOUZA</t>
  </si>
  <si>
    <t>23083956</t>
  </si>
  <si>
    <t>MARGARETE DE LURDES MERLO DANTAS</t>
  </si>
  <si>
    <t>marcusvmdantas@gmail.com</t>
  </si>
  <si>
    <t>23083980</t>
  </si>
  <si>
    <t>MARCUS VINICIUS MERLO DANTAS</t>
  </si>
  <si>
    <t>23084020</t>
  </si>
  <si>
    <t>MARIANA MERLO DANTAS</t>
  </si>
  <si>
    <t>23085383</t>
  </si>
  <si>
    <t>DANILO BULLA RODRIGUES RAMOS</t>
  </si>
  <si>
    <t>fiscal@grupoledani.com.br</t>
  </si>
  <si>
    <t>23088299</t>
  </si>
  <si>
    <t>ROSEMARY CARDOSO DE ANDRADE</t>
  </si>
  <si>
    <t>rocandra.sp@gmail.com</t>
  </si>
  <si>
    <t>23088468</t>
  </si>
  <si>
    <t>EDUARDO PAULO RAMOS COSTA</t>
  </si>
  <si>
    <t>eprc1984@gmail.com</t>
  </si>
  <si>
    <t>19974027</t>
  </si>
  <si>
    <t>19/02/2025</t>
  </si>
  <si>
    <t>FRANCISCO GOMES MILAGRES</t>
  </si>
  <si>
    <t>FRANCISCO@MIRACH.COM</t>
  </si>
  <si>
    <t>20068795</t>
  </si>
  <si>
    <t>RENATO KOCH</t>
  </si>
  <si>
    <t>RENATOENGSISTEMA@GMAIL.COM</t>
  </si>
  <si>
    <t>20068796</t>
  </si>
  <si>
    <t>22363965</t>
  </si>
  <si>
    <t>ANDERSON OLIVEIRA DOS SANTOS</t>
  </si>
  <si>
    <t>22382605</t>
  </si>
  <si>
    <t>CLEBERSON ALVES DOS SANTOS</t>
  </si>
  <si>
    <t>22996196</t>
  </si>
  <si>
    <t>MAURICIO FERRAO PEREIRA BORGES</t>
  </si>
  <si>
    <t>ferrao@mfpb.com.br</t>
  </si>
  <si>
    <t>23059350</t>
  </si>
  <si>
    <t>RENATA DE MORAIS GONCALVES</t>
  </si>
  <si>
    <t>conectcell.acessorios@outlook.com</t>
  </si>
  <si>
    <t>23059905</t>
  </si>
  <si>
    <t>LEONARDO TABOADA SILVA</t>
  </si>
  <si>
    <t>leonardo_taboada@outlook.com</t>
  </si>
  <si>
    <t>23071679</t>
  </si>
  <si>
    <t>VITOR CANTO BUCHALA</t>
  </si>
  <si>
    <t>23075428</t>
  </si>
  <si>
    <t>GIVANILDO GERALDO DA SILVA</t>
  </si>
  <si>
    <t>23078689</t>
  </si>
  <si>
    <t>MARCOS ASSIS DUARTE</t>
  </si>
  <si>
    <t>adm.madatacadista@gmail.com</t>
  </si>
  <si>
    <t>23083025</t>
  </si>
  <si>
    <t>LUZIO MARIO MENDES GOMES</t>
  </si>
  <si>
    <t>suporth.cont@gmail.com</t>
  </si>
  <si>
    <t>23083428</t>
  </si>
  <si>
    <t>WANDERLEY LIMA DA SILVA</t>
  </si>
  <si>
    <t>wanderley.lima@gmail.com</t>
  </si>
  <si>
    <t>23083472</t>
  </si>
  <si>
    <t>GERSON SANTOLERI</t>
  </si>
  <si>
    <t>585assjur@gmail.com</t>
  </si>
  <si>
    <t>23083473</t>
  </si>
  <si>
    <t>DANIEL DE MELO ROBI</t>
  </si>
  <si>
    <t>606assjur@gmail.com</t>
  </si>
  <si>
    <t>23087624</t>
  </si>
  <si>
    <t>LUIZ FERNANDO RIBEIRO</t>
  </si>
  <si>
    <t>fernando.ribeiro@eletrorede.eng.br</t>
  </si>
  <si>
    <t>23089012</t>
  </si>
  <si>
    <t>RENATO MARRIEL</t>
  </si>
  <si>
    <t>luiza@alfabelt.com.br</t>
  </si>
  <si>
    <t>23089449</t>
  </si>
  <si>
    <t>SERGIO MUNIZ RIOS FILHO</t>
  </si>
  <si>
    <t>juazeiro_ba@yahoo.com.br</t>
  </si>
  <si>
    <t>23091013</t>
  </si>
  <si>
    <t>DOUGLAS DA SILVA ALEXANDRE</t>
  </si>
  <si>
    <t>douglas_alex83@hotmail.com</t>
  </si>
  <si>
    <t>23091052</t>
  </si>
  <si>
    <t>EVERSON BENAVENTANA ALVES</t>
  </si>
  <si>
    <t>contato@eversonalves.com</t>
  </si>
  <si>
    <t>23093891</t>
  </si>
  <si>
    <t>DEBORA CASTANHEIRA STANCATO</t>
  </si>
  <si>
    <t>debora.stancato@gmail.com</t>
  </si>
  <si>
    <t>20043186</t>
  </si>
  <si>
    <t>20/02/2025</t>
  </si>
  <si>
    <t>JOAO ROBERTO CAVALLARO</t>
  </si>
  <si>
    <t>financeiro@maxitranssolucoes.com.br</t>
  </si>
  <si>
    <t>20062032</t>
  </si>
  <si>
    <t>KARIN PATRICIA BRAUN</t>
  </si>
  <si>
    <t>MACROPL2@TERRA.COM.BR</t>
  </si>
  <si>
    <t>20099103</t>
  </si>
  <si>
    <t>ALEXANDRE CARDOSO BANDEIRA</t>
  </si>
  <si>
    <t>alexandrebandeira@tjmg.jus.br</t>
  </si>
  <si>
    <t>20112296</t>
  </si>
  <si>
    <t>PABLO MONTEIRO MERCANTE</t>
  </si>
  <si>
    <t>pablo.mercante@tjmg.jus.br</t>
  </si>
  <si>
    <t>20121220</t>
  </si>
  <si>
    <t>PATRICIA DE SOUZA</t>
  </si>
  <si>
    <t>PDS.CONTABILIDADE@GMAIL.COM</t>
  </si>
  <si>
    <t>22733403</t>
  </si>
  <si>
    <t>JOYCE DE FATIMA BORGES</t>
  </si>
  <si>
    <t>joycefatimaph@hotmail.com</t>
  </si>
  <si>
    <t>22958785</t>
  </si>
  <si>
    <t>MARCELO HENRIQUE MONTEIRO</t>
  </si>
  <si>
    <t>financeiro@publigoo.com.br</t>
  </si>
  <si>
    <t>23014684</t>
  </si>
  <si>
    <t>23014685</t>
  </si>
  <si>
    <t>23014687</t>
  </si>
  <si>
    <t>REGINALDO CESAR RIBEIRO</t>
  </si>
  <si>
    <t>23022536</t>
  </si>
  <si>
    <t>ALICE COSTA AMARAL ROCHA</t>
  </si>
  <si>
    <t>mamaralr@yahoo.com.br</t>
  </si>
  <si>
    <t>23064558</t>
  </si>
  <si>
    <t>RODRIGO FERREIRA DA SILVA</t>
  </si>
  <si>
    <t>rodrigo@optmax.com.br</t>
  </si>
  <si>
    <t>23064696</t>
  </si>
  <si>
    <t>MARYLENA RODRIGUES AVOLETA SOUZA</t>
  </si>
  <si>
    <t>FINANCEIRO@FEGBRASIL.COM.BR</t>
  </si>
  <si>
    <t>23071382</t>
  </si>
  <si>
    <t>EDUARDO NOGUEIRA RODRIGUES</t>
  </si>
  <si>
    <t>eduardo@hazakbrasil.com.br</t>
  </si>
  <si>
    <t>23077434</t>
  </si>
  <si>
    <t>KESIA DAFINE ALVES AQUINO</t>
  </si>
  <si>
    <t>kesia.dafine@outlook.com</t>
  </si>
  <si>
    <t>23091237</t>
  </si>
  <si>
    <t>ARIANE STEPHANIE LEMES GONZAGA</t>
  </si>
  <si>
    <t>arianesteph@yahoo.com.br</t>
  </si>
  <si>
    <t>23091319</t>
  </si>
  <si>
    <t>MARIA VANDERLY VILELA DE LIMA</t>
  </si>
  <si>
    <t>vanderlyvilela12@gmail.com</t>
  </si>
  <si>
    <t>23092703</t>
  </si>
  <si>
    <t>GABRIEL OLIVEIRA CARDOSO</t>
  </si>
  <si>
    <t>23093019</t>
  </si>
  <si>
    <t>ADRIANO RICARDO MANTOAN</t>
  </si>
  <si>
    <t>contabil@I9grupo.com.br</t>
  </si>
  <si>
    <t>23093805</t>
  </si>
  <si>
    <t>496assjur@gmail.com</t>
  </si>
  <si>
    <t>23095068</t>
  </si>
  <si>
    <t>JAKELINE RODRIGUES DA ROCHA</t>
  </si>
  <si>
    <t>vendasjkmodass@gmail.com</t>
  </si>
  <si>
    <t>23095782</t>
  </si>
  <si>
    <t>EDUARDO DE OLIVEIRA APARECIDO</t>
  </si>
  <si>
    <t>23095783</t>
  </si>
  <si>
    <t>ANA BEATRIZ JUNQUEIRA MAIA APARECIDO</t>
  </si>
  <si>
    <t>23096849</t>
  </si>
  <si>
    <t>RAUL OLIVEIRA LIMA DE CASTRO</t>
  </si>
  <si>
    <t>raulolimacastro@gmail.com</t>
  </si>
  <si>
    <t>23097284</t>
  </si>
  <si>
    <t>IRINEU DE MELO SOBRINHO</t>
  </si>
  <si>
    <t>melomecanica@yahoo.com.br</t>
  </si>
  <si>
    <t>23098040</t>
  </si>
  <si>
    <t>GILMAR MARCOS DA SILVA</t>
  </si>
  <si>
    <t>silbor.contato@hotmail.com</t>
  </si>
  <si>
    <t>20031313</t>
  </si>
  <si>
    <t>21/02/2025</t>
  </si>
  <si>
    <t>IVAN CHAKKOUR</t>
  </si>
  <si>
    <t>dramarialuiza@uol.com.br</t>
  </si>
  <si>
    <t>20117668</t>
  </si>
  <si>
    <t>DANIELA BASTOS LEAO</t>
  </si>
  <si>
    <t>daniela.leao@tjmg.jus.br</t>
  </si>
  <si>
    <t>20120983</t>
  </si>
  <si>
    <t>AMANDA TORQUATO DUARTE</t>
  </si>
  <si>
    <t>amanda@srst.com.br</t>
  </si>
  <si>
    <t>20125999</t>
  </si>
  <si>
    <t>OLIVER FELICIO CASA</t>
  </si>
  <si>
    <t>85ofcasa@gmail.com</t>
  </si>
  <si>
    <t>23041813</t>
  </si>
  <si>
    <t>ALEXANDRE MASCARENHAS FALCI</t>
  </si>
  <si>
    <t>alexfalci@hotmail.com</t>
  </si>
  <si>
    <t>23051877</t>
  </si>
  <si>
    <t>CRISTIANO ALVES FERREIRA</t>
  </si>
  <si>
    <t>cristiano@comottec.com.br</t>
  </si>
  <si>
    <t>23062658</t>
  </si>
  <si>
    <t>FERNANDO DONISETE DE JESUS FERREIRA</t>
  </si>
  <si>
    <t>nandojc12@gmail.com</t>
  </si>
  <si>
    <t>23068652</t>
  </si>
  <si>
    <t>RONEMARCOS JUNIO LOPES DOS SANTOS</t>
  </si>
  <si>
    <t>ronelopes05@icloud.com</t>
  </si>
  <si>
    <t>23077847</t>
  </si>
  <si>
    <t>FERNANDO HENRIQUE BRITO DOS REIS</t>
  </si>
  <si>
    <t>financeiro@baumfe.com.br</t>
  </si>
  <si>
    <t>23079751</t>
  </si>
  <si>
    <t>YADNY ARIEL MARTINS</t>
  </si>
  <si>
    <t>23085867</t>
  </si>
  <si>
    <t>GUILHERME MACIEL FIGUEIREDO</t>
  </si>
  <si>
    <t>financeiro@organicodochico.com.br</t>
  </si>
  <si>
    <t>23087057</t>
  </si>
  <si>
    <t>JULIA TAMI SAKUMOTO</t>
  </si>
  <si>
    <t>23104100</t>
  </si>
  <si>
    <t>VANILUCIE MODA GUIMARAES DOS SANTOS</t>
  </si>
  <si>
    <t>marcenaria.rtwood@gmail.com</t>
  </si>
  <si>
    <t>23104445</t>
  </si>
  <si>
    <t>FELIPE FERREIRA CAETANO</t>
  </si>
  <si>
    <t>fecae95@gmail.com</t>
  </si>
  <si>
    <t>23105804</t>
  </si>
  <si>
    <t>KARINA DE SOUSA MACHADO</t>
  </si>
  <si>
    <t>pelelindastore@gmail.com</t>
  </si>
  <si>
    <t>23106546</t>
  </si>
  <si>
    <t>JORGE DOS SANTOS FERNANDES</t>
  </si>
  <si>
    <t>23106547</t>
  </si>
  <si>
    <t>ROBSON EUSTAQUIO MESSIAS</t>
  </si>
  <si>
    <t>robsoneustaquio@hotmail.com</t>
  </si>
  <si>
    <t>20111350</t>
  </si>
  <si>
    <t>22/02/2025</t>
  </si>
  <si>
    <t>FABIO DETLINGER</t>
  </si>
  <si>
    <t>FABIO@MPOW.COM.BR</t>
  </si>
  <si>
    <t>20120123</t>
  </si>
  <si>
    <t>MARIA CRISTINA FERREIRA DA COSTA</t>
  </si>
  <si>
    <t>cristinacosta.adv@terra.com.br</t>
  </si>
  <si>
    <t>20137090</t>
  </si>
  <si>
    <t>JANUARIO SPISLA</t>
  </si>
  <si>
    <t>jakaspi@gmail.com</t>
  </si>
  <si>
    <t>23020603</t>
  </si>
  <si>
    <t>ARLENE BALAGUE TRALLERO DE OLIVEIRA</t>
  </si>
  <si>
    <t>arlenebto@gmail.com</t>
  </si>
  <si>
    <t>23064420</t>
  </si>
  <si>
    <t>DANIELLE CLOUZET DE ROMAN</t>
  </si>
  <si>
    <t>danila@interamericanetwork.com</t>
  </si>
  <si>
    <t>23072058</t>
  </si>
  <si>
    <t>JULIO CESAR GOMES CARDOSO</t>
  </si>
  <si>
    <t>padariacafedamanha@hotmail.com</t>
  </si>
  <si>
    <t>23086470</t>
  </si>
  <si>
    <t>HEBERTH GONCALVES DIAS</t>
  </si>
  <si>
    <t>eduardo.goncalves@gdlivros.com.br</t>
  </si>
  <si>
    <t>23089590</t>
  </si>
  <si>
    <t>MARGARIDA SOLANGE DE PAULA</t>
  </si>
  <si>
    <t>comercial@plumaterceirizacao.com.br</t>
  </si>
  <si>
    <t>23090979</t>
  </si>
  <si>
    <t>contabilidadeligavale@gmail.com</t>
  </si>
  <si>
    <t>23091014</t>
  </si>
  <si>
    <t>THAIS MILENE DOS SANTOS SERENCH</t>
  </si>
  <si>
    <t>nfe@fleventos.com.br</t>
  </si>
  <si>
    <t>23091015</t>
  </si>
  <si>
    <t>23094250</t>
  </si>
  <si>
    <t>PAULO SOUSA DE ARAUJO</t>
  </si>
  <si>
    <t>23094639</t>
  </si>
  <si>
    <t>ROGERIO ROQUE DA CRUZ</t>
  </si>
  <si>
    <t>23096547</t>
  </si>
  <si>
    <t>SERGIO EDUARDO CZUCZMAN</t>
  </si>
  <si>
    <t>23099591</t>
  </si>
  <si>
    <t>SANDRA ALVES DE SOUZA</t>
  </si>
  <si>
    <t>anderson@aefservicos.com.br</t>
  </si>
  <si>
    <t>23103092</t>
  </si>
  <si>
    <t>RICARDO LEANDRO DOS SANTOS</t>
  </si>
  <si>
    <t>23113278</t>
  </si>
  <si>
    <t>GEALZI MARQUES PASSOS</t>
  </si>
  <si>
    <t>emersonepacheco@gmail.com</t>
  </si>
  <si>
    <t>19446399</t>
  </si>
  <si>
    <t>23/02/2025</t>
  </si>
  <si>
    <t>JOSIMEIRE RODRIGUES PEREIRA DE CARVALHO</t>
  </si>
  <si>
    <t>VANESSA.MEGACOLOR@GMAIL.COM</t>
  </si>
  <si>
    <t>20055705</t>
  </si>
  <si>
    <t>RICARDO FERNANDES DA SILVA</t>
  </si>
  <si>
    <t>RICARDO.FERNANDES90@YAHOO.COM.BR</t>
  </si>
  <si>
    <t>20107387</t>
  </si>
  <si>
    <t>ARLINDA DONISETE LOPES DE ANDRADE</t>
  </si>
  <si>
    <t>COMPRAS@CAMARAMAUA.SP.GOV.BR</t>
  </si>
  <si>
    <t>20107388</t>
  </si>
  <si>
    <t>ANDRE SOARES BARBOSA</t>
  </si>
  <si>
    <t>20107389</t>
  </si>
  <si>
    <t>ISABEL CRISTINA NOBRE VIEIRA VIANA</t>
  </si>
  <si>
    <t>20107390</t>
  </si>
  <si>
    <t>MARILLIA CUNHA CAMARA QUIXABA DA SILVA</t>
  </si>
  <si>
    <t>20107391</t>
  </si>
  <si>
    <t>MAGDA APARECIDA ALVES DE OLIVEIRA LIPPI</t>
  </si>
  <si>
    <t>20107392</t>
  </si>
  <si>
    <t>IGOR BRENDO MEDEIROS VALENTE</t>
  </si>
  <si>
    <t>20107395</t>
  </si>
  <si>
    <t>STEFANO DE BIAZZI</t>
  </si>
  <si>
    <t>20107397</t>
  </si>
  <si>
    <t>JULYA OLIVEIRA BERNABEL</t>
  </si>
  <si>
    <t>20107399</t>
  </si>
  <si>
    <t>JORGE SANTIAGO CARVALHO SEQUEIRA</t>
  </si>
  <si>
    <t>20119708</t>
  </si>
  <si>
    <t>ELIAS DE ARAUJO</t>
  </si>
  <si>
    <t>PEDROHRA@YAHOO.COM.BR</t>
  </si>
  <si>
    <t>20139184</t>
  </si>
  <si>
    <t>DANIELA DA SILVA</t>
  </si>
  <si>
    <t>danisilvasd@gmail.com</t>
  </si>
  <si>
    <t>23064492</t>
  </si>
  <si>
    <t>CAIO LUCAS CERQUEIRA DE MORAIS</t>
  </si>
  <si>
    <t>discocaosbh@gmail.com</t>
  </si>
  <si>
    <t>23092132</t>
  </si>
  <si>
    <t>LEANDRO AUGUSTO DE ALCANTARA PIO</t>
  </si>
  <si>
    <t>leandro.augusto09@hotmail.com</t>
  </si>
  <si>
    <t>23105336</t>
  </si>
  <si>
    <t>LEANDRO MARCELINO DE SOUZA</t>
  </si>
  <si>
    <t>leandro.souza.marcelino@gmail.com</t>
  </si>
  <si>
    <t>23115073</t>
  </si>
  <si>
    <t>AMANDA CARDOSO RODRIGUES ZANPIERI</t>
  </si>
  <si>
    <t>manda.crod@hotmail.com</t>
  </si>
  <si>
    <t>20007474</t>
  </si>
  <si>
    <t>24/02/2025</t>
  </si>
  <si>
    <t>GUSTAVO DE SANTA ROSA SANTOS</t>
  </si>
  <si>
    <t>GSANTOSBORRACHAS@HOTMAIL.COM</t>
  </si>
  <si>
    <t>20051908</t>
  </si>
  <si>
    <t>ABNER DA SILVA RODRIGUES</t>
  </si>
  <si>
    <t>acmast@acmast.com.br</t>
  </si>
  <si>
    <t>20097306</t>
  </si>
  <si>
    <t>OSMAR PEREIRA DE SOUZA</t>
  </si>
  <si>
    <t>OSMAR@ACPCOMPONENTES.COM.BR</t>
  </si>
  <si>
    <t>20131746</t>
  </si>
  <si>
    <t>20138852</t>
  </si>
  <si>
    <t>ERICA BARROS MORAIS</t>
  </si>
  <si>
    <t>erica.morais@tjmg.jus.br</t>
  </si>
  <si>
    <t>20140221</t>
  </si>
  <si>
    <t>FABIO HENRIQUE FERNANDES TEIXEIRA</t>
  </si>
  <si>
    <t>FABIOHFTEIXEIRA@YAHOO.COM.BR</t>
  </si>
  <si>
    <t>20141631</t>
  </si>
  <si>
    <t>MARCIAL RIBEIRO CHAVES</t>
  </si>
  <si>
    <t>CHAVES.M@UOL.COM.BR</t>
  </si>
  <si>
    <t>20145081</t>
  </si>
  <si>
    <t>DANIELE CRISTINA ROSA ALVES</t>
  </si>
  <si>
    <t>daniele.alves@tjmg.jus.br</t>
  </si>
  <si>
    <t>20147628</t>
  </si>
  <si>
    <t>ANDERSON PLACIDO COSTA DE CARVALHO</t>
  </si>
  <si>
    <t>acarvalh@trf3.jus.br</t>
  </si>
  <si>
    <t>22961174</t>
  </si>
  <si>
    <t>FERNANDO DE CAMPOS</t>
  </si>
  <si>
    <t>fernando@consultoriaessencia.com.br</t>
  </si>
  <si>
    <t>22942180</t>
  </si>
  <si>
    <t>25/02/2025</t>
  </si>
  <si>
    <t>DENYS LIMA DE ARAUJO</t>
  </si>
  <si>
    <t>emdrapecas@gmail.com</t>
  </si>
  <si>
    <t>22967517</t>
  </si>
  <si>
    <t>AMINE MARIA SIMAO DE ASSIS</t>
  </si>
  <si>
    <t>22980527</t>
  </si>
  <si>
    <t>EDMAR MARTINS</t>
  </si>
  <si>
    <t>edmar.martins74@gmail.com</t>
  </si>
  <si>
    <t>23006622</t>
  </si>
  <si>
    <t>VANDERLEI FLORES</t>
  </si>
  <si>
    <t>vfembalagens@gmail.com</t>
  </si>
  <si>
    <t>23014682</t>
  </si>
  <si>
    <t>ANTONIO CARLOS RAFAEL</t>
  </si>
  <si>
    <t>23039418</t>
  </si>
  <si>
    <t>ALYNE DA SILVA MORAIS</t>
  </si>
  <si>
    <t>contatoalynessilva@outlook.com</t>
  </si>
  <si>
    <t>23042949</t>
  </si>
  <si>
    <t>RUBEM STEFANOS TSOULFAS</t>
  </si>
  <si>
    <t>JOAOCONTJSA@GMAIL.COM</t>
  </si>
  <si>
    <t>23045066</t>
  </si>
  <si>
    <t>JUCARA FREIRE DE SOUZA CRUZ</t>
  </si>
  <si>
    <t>jfreire@jfreire.com.br</t>
  </si>
  <si>
    <t>23052449</t>
  </si>
  <si>
    <t>rafaeltdm@yahoo.com.br</t>
  </si>
  <si>
    <t>23069343</t>
  </si>
  <si>
    <t>TIAGO DA SILVA RAMOS</t>
  </si>
  <si>
    <t>23071809</t>
  </si>
  <si>
    <t>23086673</t>
  </si>
  <si>
    <t>LIA RUFINO BODNARUK DE OLIVEIRA</t>
  </si>
  <si>
    <t>lia@donaclara.ind.br</t>
  </si>
  <si>
    <t>23087619</t>
  </si>
  <si>
    <t>VINICIUS CAMARGO ASSIS GONCALVES</t>
  </si>
  <si>
    <t>viniciuscagoncalves@gmail.com</t>
  </si>
  <si>
    <t>23093562</t>
  </si>
  <si>
    <t>SERGIO RICARDO MENDONCA DOS SANTOS</t>
  </si>
  <si>
    <t>fabianarodrigues2403@gmail.com</t>
  </si>
  <si>
    <t>23099776</t>
  </si>
  <si>
    <t>ARISTIDES STRADIOTTO JUNIOR</t>
  </si>
  <si>
    <t>constance.gigamodas@gmail.com</t>
  </si>
  <si>
    <t>23102743</t>
  </si>
  <si>
    <t>VAGNER SOARES DE BRITO</t>
  </si>
  <si>
    <t>23104366</t>
  </si>
  <si>
    <t>JOAO PAULO JORGE</t>
  </si>
  <si>
    <t>23104770</t>
  </si>
  <si>
    <t>ANGELO MARCIO BORGES CRUZ</t>
  </si>
  <si>
    <t>cleidelocacao@hotmail.com</t>
  </si>
  <si>
    <t>23107418</t>
  </si>
  <si>
    <t>ERNANI CESAR DE OLIVEIRA LIMA</t>
  </si>
  <si>
    <t>reautomacao.sjc@gmail.com</t>
  </si>
  <si>
    <t>23109299</t>
  </si>
  <si>
    <t>TIAGO RICHARDSON MARTINS DE OLIVEIRA</t>
  </si>
  <si>
    <t>tiagorichardson.ent@gmail.com</t>
  </si>
  <si>
    <t>23110072</t>
  </si>
  <si>
    <t>DANIELA PEREIRA QUEIROZ</t>
  </si>
  <si>
    <t>dannycoi762@gmail.com</t>
  </si>
  <si>
    <t>23112898</t>
  </si>
  <si>
    <t>KEZIA DA SILVA SANTOS</t>
  </si>
  <si>
    <t>ruancarllos3@outlook.com</t>
  </si>
  <si>
    <t>23115477</t>
  </si>
  <si>
    <t>THIAGO RIBEIRO DE MACEDO FERNANDES</t>
  </si>
  <si>
    <t>thiagoribeiro.f@hotmail.com</t>
  </si>
  <si>
    <t>23115698</t>
  </si>
  <si>
    <t>YAGO MARCHESINI DOS SANTOS</t>
  </si>
  <si>
    <t>atendimento@tabacariamolotov.com.br</t>
  </si>
  <si>
    <t>23115715</t>
  </si>
  <si>
    <t>ELISANGELA OLIVEIRA SILVA</t>
  </si>
  <si>
    <t>elisangelaoliveira.silva051073@gmail.com</t>
  </si>
  <si>
    <t>23116083</t>
  </si>
  <si>
    <t>ORLANDO MENDES ALBINO</t>
  </si>
  <si>
    <t>ricardo@bklbikes.com.br</t>
  </si>
  <si>
    <t>23116473</t>
  </si>
  <si>
    <t>safecountconsultoria@gmail.com</t>
  </si>
  <si>
    <t>23116706</t>
  </si>
  <si>
    <t>EVANDRO WILLIMANN</t>
  </si>
  <si>
    <t>evandro.willimann@gmail.com</t>
  </si>
  <si>
    <t>23118081</t>
  </si>
  <si>
    <t>LINDOMAR CARDOSO DA SILVA</t>
  </si>
  <si>
    <t>LINDOMAR@CARDOSOSCONSULTORIA.COM</t>
  </si>
  <si>
    <t>23119959</t>
  </si>
  <si>
    <t>KELLER CHRISTINE PIO</t>
  </si>
  <si>
    <t>kellerchristine051@gmail.com</t>
  </si>
  <si>
    <t>23120917</t>
  </si>
  <si>
    <t>FABIANE PEIXOTO CRISCUOLI</t>
  </si>
  <si>
    <t>fabiane.criscuoli@intelly.com.br</t>
  </si>
  <si>
    <t>22462702</t>
  </si>
  <si>
    <t>26/02/2025</t>
  </si>
  <si>
    <t>THIAGO ZANOTI</t>
  </si>
  <si>
    <t>23065360</t>
  </si>
  <si>
    <t>ELIEL SANTOS DE SANTANA</t>
  </si>
  <si>
    <t>eliel-@hotmail.com</t>
  </si>
  <si>
    <t>23083719</t>
  </si>
  <si>
    <t>ALEXANDRE LOPES SERAFIM</t>
  </si>
  <si>
    <t>livrosnaweb.com@gmail.com</t>
  </si>
  <si>
    <t>23092729</t>
  </si>
  <si>
    <t>FLAVIA COPPE CALDEIRA</t>
  </si>
  <si>
    <t>23094185</t>
  </si>
  <si>
    <t>VANESSA REGINA GOMES COUTO</t>
  </si>
  <si>
    <t>23094206</t>
  </si>
  <si>
    <t>CARLOS ANDRE MARQUES DE FARIAS FERREIRA</t>
  </si>
  <si>
    <t>23095047</t>
  </si>
  <si>
    <t>ISABEL TEIXEIRA DE SOUSA</t>
  </si>
  <si>
    <t>23097535</t>
  </si>
  <si>
    <t>WILLIAN MARCELO COSIM</t>
  </si>
  <si>
    <t>wmzstore@hotmail.com</t>
  </si>
  <si>
    <t>23108398</t>
  </si>
  <si>
    <t>VAGNER PATINI MARTINS</t>
  </si>
  <si>
    <t>vagner@patini.adv.br</t>
  </si>
  <si>
    <t>23109014</t>
  </si>
  <si>
    <t>CAIO NOGUES PETRIZ</t>
  </si>
  <si>
    <t>lider_flex@hotmail.com</t>
  </si>
  <si>
    <t>23114031</t>
  </si>
  <si>
    <t>LUCIO CESAR RODRIGUES MIRANDA</t>
  </si>
  <si>
    <t>luciomirandabh@hotmail.com</t>
  </si>
  <si>
    <t>23114895</t>
  </si>
  <si>
    <t>ONOZOR BUENO GONZAGA JUNIOR</t>
  </si>
  <si>
    <t>montillarestaurante325@gmail.com</t>
  </si>
  <si>
    <t>23121540</t>
  </si>
  <si>
    <t>PAULA VANEZA DA SILVA CLEMENTINO</t>
  </si>
  <si>
    <t>blesscloset7@gmail.com</t>
  </si>
  <si>
    <t>23121660</t>
  </si>
  <si>
    <t>MATHEUS MEDEIROS PEREIRA</t>
  </si>
  <si>
    <t>contatoemepestore@gmail.com</t>
  </si>
  <si>
    <t>23123188</t>
  </si>
  <si>
    <t>CONTABILIDADEJAF@OUTLOOK.COM</t>
  </si>
  <si>
    <t>23123242</t>
  </si>
  <si>
    <t>CLAUDIA REGINA RAFAEL MUNIN</t>
  </si>
  <si>
    <t>cregina3721@gmail.com</t>
  </si>
  <si>
    <t>23123351</t>
  </si>
  <si>
    <t>EDINALVA DOS SANTOS ROCHA</t>
  </si>
  <si>
    <t>emissaoctes@gmail.com</t>
  </si>
  <si>
    <t>23123352</t>
  </si>
  <si>
    <t>LUCAS SANTOS BARBOSA</t>
  </si>
  <si>
    <t>cacolsb@hotmail.com</t>
  </si>
  <si>
    <t>23123798</t>
  </si>
  <si>
    <t>ANDREA ARAUJO CUNHA GOMES</t>
  </si>
  <si>
    <t>23124334</t>
  </si>
  <si>
    <t>MAICON ROBERTO KLEIN</t>
  </si>
  <si>
    <t>klein.motors@outlook.com</t>
  </si>
  <si>
    <t>23125458</t>
  </si>
  <si>
    <t>ALEX TENORIO DE ASSIS</t>
  </si>
  <si>
    <t>alex.tenorio@hmfsconsulting.com.br</t>
  </si>
  <si>
    <t>23125914</t>
  </si>
  <si>
    <t>DONIZETE FERREIRA DOS SANTOS JUNIOR</t>
  </si>
  <si>
    <t>fernandamadona3@gmail.com</t>
  </si>
  <si>
    <t>23126306</t>
  </si>
  <si>
    <t>LUCIANO ANGELO PEREIRA</t>
  </si>
  <si>
    <t>lucianoanper@gmail.com</t>
  </si>
  <si>
    <t>23126482</t>
  </si>
  <si>
    <t>RAIMUNDO ENIO SILVA BARBOSA</t>
  </si>
  <si>
    <t>luisfiuza@yahoo.com.br</t>
  </si>
  <si>
    <t>23126542</t>
  </si>
  <si>
    <t>YRIA FREITAS TANTALO</t>
  </si>
  <si>
    <t>yriatandel@gmail.com</t>
  </si>
  <si>
    <t>23127468</t>
  </si>
  <si>
    <t>CLERMONT CINTRA DE OLIVEIRA</t>
  </si>
  <si>
    <t>contato@clermontcintra.com</t>
  </si>
  <si>
    <t>20031545</t>
  </si>
  <si>
    <t>27/02/2025</t>
  </si>
  <si>
    <t>20079122</t>
  </si>
  <si>
    <t>JOAO EVANGELISTA MACEDO</t>
  </si>
  <si>
    <t>escaputinga@gmail.com</t>
  </si>
  <si>
    <t>20132712</t>
  </si>
  <si>
    <t>LEONARDO COELHO DA FONSECA MACHADO</t>
  </si>
  <si>
    <t>joyce@lcfm.com.br</t>
  </si>
  <si>
    <t>22425872</t>
  </si>
  <si>
    <t>LARISSA SUELLEN BATISTA PIRES</t>
  </si>
  <si>
    <t>22890396</t>
  </si>
  <si>
    <t>suporte3@pingpao.com.br</t>
  </si>
  <si>
    <t>23083906</t>
  </si>
  <si>
    <t>23107586</t>
  </si>
  <si>
    <t>FABIO ROBERTO DA SILVA BAPTISTA</t>
  </si>
  <si>
    <t>lucia.santos@unimedsjc.coop.br</t>
  </si>
  <si>
    <t>23118057</t>
  </si>
  <si>
    <t>RICARDO CESAR HUBER PINTO</t>
  </si>
  <si>
    <t>rchuber@uol.com.br</t>
  </si>
  <si>
    <t>23118493</t>
  </si>
  <si>
    <t>PEDRO AMAURI MARQUES JUNIOR</t>
  </si>
  <si>
    <t>cota@puremedical.com.br</t>
  </si>
  <si>
    <t>23123185</t>
  </si>
  <si>
    <t>LUIZ ROBERTO DE FARIA</t>
  </si>
  <si>
    <t>luiz.roberto.faria@gmail.com</t>
  </si>
  <si>
    <t>23129227</t>
  </si>
  <si>
    <t>HEBERTY VIEIRA MATOS</t>
  </si>
  <si>
    <t>unnopaes@gmail.com</t>
  </si>
  <si>
    <t>23129348</t>
  </si>
  <si>
    <t>IGOR CARDOSO MEDEIROS</t>
  </si>
  <si>
    <t>igor.medeiros@ferk.com.br</t>
  </si>
  <si>
    <t>23130356</t>
  </si>
  <si>
    <t>CLAUDIA ALVES DE OLIVEIRA SANTOS</t>
  </si>
  <si>
    <t>23131408</t>
  </si>
  <si>
    <t>labacelar@hotmail.com</t>
  </si>
  <si>
    <t>23131641</t>
  </si>
  <si>
    <t>DAVY AUGUSTO SOUZA FONTES DE ARAUJO</t>
  </si>
  <si>
    <t>engdavyaugusto@gmail.com</t>
  </si>
  <si>
    <t>23133112</t>
  </si>
  <si>
    <t>MILENA FERREIRA BORTOLANI</t>
  </si>
  <si>
    <t>milenafbortolani@hotmail.com</t>
  </si>
  <si>
    <t>23134402</t>
  </si>
  <si>
    <t>MARIA EDUARDA SIMAO COSTA</t>
  </si>
  <si>
    <t>Mesimaoc@gmail.com</t>
  </si>
  <si>
    <t>22595526</t>
  </si>
  <si>
    <t>28/02/2025</t>
  </si>
  <si>
    <t>ANA CLAUDIA FORMENTON DANIEL</t>
  </si>
  <si>
    <t>petrusdaniel@yahoo.com.br</t>
  </si>
  <si>
    <t>22892074</t>
  </si>
  <si>
    <t>JOSE DA CONCEICAO SOUZA</t>
  </si>
  <si>
    <t>josecruzmg@hotmail.com</t>
  </si>
  <si>
    <t>23094450</t>
  </si>
  <si>
    <t>ROGERIO REIS DA SILVA</t>
  </si>
  <si>
    <t>23094507</t>
  </si>
  <si>
    <t>FRANCISCO CORREIA</t>
  </si>
  <si>
    <t>23098549</t>
  </si>
  <si>
    <t>ANDREIA CRISTINA PIRES CASTRO LIMA</t>
  </si>
  <si>
    <t>23104947</t>
  </si>
  <si>
    <t>EVANDRO POLONI LOPES</t>
  </si>
  <si>
    <t>23106420</t>
  </si>
  <si>
    <t>THAUANE ANDRADE RISSETTO</t>
  </si>
  <si>
    <t>thauaneandrade23@gmail.com</t>
  </si>
  <si>
    <t>23108828</t>
  </si>
  <si>
    <t>ANTONIO LEITE DE ALENCAR</t>
  </si>
  <si>
    <t>23110110</t>
  </si>
  <si>
    <t>REGINALDO ESTEVES DE MOURA</t>
  </si>
  <si>
    <t>reginaldoestevesdemoura@gmail.com</t>
  </si>
  <si>
    <t>23116621</t>
  </si>
  <si>
    <t>CAROLINA RODRIGUES FIGUEREDO DE SOUZA</t>
  </si>
  <si>
    <t>carolina.rodrigues@internacionalnet.com.br</t>
  </si>
  <si>
    <t>23118857</t>
  </si>
  <si>
    <t>BARBARA FERREIRA CHIARELLO</t>
  </si>
  <si>
    <t>mauricio.pancini@uol.com.br</t>
  </si>
  <si>
    <t>23123382</t>
  </si>
  <si>
    <t>MARCOS ALMEIDA DE OLIVEIRA</t>
  </si>
  <si>
    <t>adm@almeidainstal.com.br</t>
  </si>
  <si>
    <t>23128938</t>
  </si>
  <si>
    <t>GUSTAVO DA COSTA LASMAR</t>
  </si>
  <si>
    <t>gustavolasmar04@gmail.com</t>
  </si>
  <si>
    <t>23129048</t>
  </si>
  <si>
    <t>DAIANE CRISTINA TORELLI GELLI</t>
  </si>
  <si>
    <t>23135304</t>
  </si>
  <si>
    <t>ALLEXIA ANNE PAOLA DOS SANTOS ARAUJO</t>
  </si>
  <si>
    <t>allexiaaraujo97@gmail.com</t>
  </si>
  <si>
    <t>23136012</t>
  </si>
  <si>
    <t>MARCO ANTONIO RATAO</t>
  </si>
  <si>
    <t>23136762</t>
  </si>
  <si>
    <t>GRAZIELA PERUZZO PERSICO DE OLIVEIRA</t>
  </si>
  <si>
    <t>peruzzo.graziela@gmail.com</t>
  </si>
  <si>
    <t>23139450</t>
  </si>
  <si>
    <t>FERNANDO AUGUSTO PERETA</t>
  </si>
  <si>
    <t>fabricadasartes@hotmail.com.br</t>
  </si>
  <si>
    <t>033.456.735-17</t>
  </si>
  <si>
    <t>220.755.918-14</t>
  </si>
  <si>
    <t>044.862.516-44</t>
  </si>
  <si>
    <t>392.874.318-09</t>
  </si>
  <si>
    <t>44.753.741/0001-19</t>
  </si>
  <si>
    <t>LEM DEPILACAO LTDA</t>
  </si>
  <si>
    <t>052.497.214-19</t>
  </si>
  <si>
    <t>289.514.718-37</t>
  </si>
  <si>
    <t>35.913.179/0001-52</t>
  </si>
  <si>
    <t>SOCIALVET CLINICA VETERINARIA LTDA</t>
  </si>
  <si>
    <t>320.559.168-23</t>
  </si>
  <si>
    <t>17.974.974/0001-79</t>
  </si>
  <si>
    <t>AGLAIA EMPREENDIMENTOS E PARTICIPACOES S A</t>
  </si>
  <si>
    <t>220.050.178-17</t>
  </si>
  <si>
    <t>17.694.292/0001-02</t>
  </si>
  <si>
    <t>AROEIRA EMPREENDIMENTOS E PARTICIPACOES S A</t>
  </si>
  <si>
    <t>278.046.638-38</t>
  </si>
  <si>
    <t>17.716.831/0001-67</t>
  </si>
  <si>
    <t>LURY EMPREENDIMENTOS E PARTICIPACOES S A</t>
  </si>
  <si>
    <t>032.956.528-13</t>
  </si>
  <si>
    <t>17.886.051/0001-65</t>
  </si>
  <si>
    <t>ODARATA EMPREENDIMENTOS E PARTICIPACOES S A</t>
  </si>
  <si>
    <t>17.750.011/0001-91</t>
  </si>
  <si>
    <t>QUADRIMASTER EMPREENDIMENTOS E PARTICIPAES S A</t>
  </si>
  <si>
    <t>248.814.418-50</t>
  </si>
  <si>
    <t>53.815.574/0001-84</t>
  </si>
  <si>
    <t>LUMAR COMERCIO DE COLCHOES LTDA</t>
  </si>
  <si>
    <t>016.345.456-64</t>
  </si>
  <si>
    <t>45.326.321/0001-19</t>
  </si>
  <si>
    <t>OUTBASE IMPORT LTDA</t>
  </si>
  <si>
    <t>518.227.008-92</t>
  </si>
  <si>
    <t>19.557.879/0001-03</t>
  </si>
  <si>
    <t>IRAPUAN LOCADORA E TURISMO LTDA</t>
  </si>
  <si>
    <t>004.296.538-16</t>
  </si>
  <si>
    <t>53.107.768/0001-25</t>
  </si>
  <si>
    <t>VENN BRASIL LTDA</t>
  </si>
  <si>
    <t>000.553.655-31</t>
  </si>
  <si>
    <t>42.176.694/0001-62</t>
  </si>
  <si>
    <t>NSA GASTRONOMIA PROFISSIONALIZANTE LTDA</t>
  </si>
  <si>
    <t>032.396.026-01</t>
  </si>
  <si>
    <t>07.253.855/0001-73</t>
  </si>
  <si>
    <t>HEMOTECH COMERCIO E SERVICOS LTDA</t>
  </si>
  <si>
    <t>344.511.348-38</t>
  </si>
  <si>
    <t>46.302.150/0001-50</t>
  </si>
  <si>
    <t>ARIANE M DA S DE SOUZA STORE</t>
  </si>
  <si>
    <t>299.200.108-20</t>
  </si>
  <si>
    <t>44.804.023/0001-24</t>
  </si>
  <si>
    <t>AMIGO SUPORTE SOLUCOES EM TECNOLOGIA DA INFORMACA</t>
  </si>
  <si>
    <t>005.922.698-68</t>
  </si>
  <si>
    <t>64.521.958/0001-00</t>
  </si>
  <si>
    <t>ITUANA AGROPECUARIA LTDA</t>
  </si>
  <si>
    <t>084.739.086-19</t>
  </si>
  <si>
    <t>088.079.676-69</t>
  </si>
  <si>
    <t>049.513.948-39</t>
  </si>
  <si>
    <t>326.193.238-43</t>
  </si>
  <si>
    <t>324.090.328-85</t>
  </si>
  <si>
    <t>217.848.238-48</t>
  </si>
  <si>
    <t>27.501.924/0001-28</t>
  </si>
  <si>
    <t>MAGNER ALANDEY DANTAS DA SILVA COORDENACAO DE OBR</t>
  </si>
  <si>
    <t>369.402.528-60</t>
  </si>
  <si>
    <t>26.725.198/0001-64</t>
  </si>
  <si>
    <t>436.549.638-70</t>
  </si>
  <si>
    <t>42.646.537/0001-73</t>
  </si>
  <si>
    <t>MARCOS ANTONIO FLORES GONCALVES 43654963870</t>
  </si>
  <si>
    <t>068.821.636-69</t>
  </si>
  <si>
    <t>088.710.206-93</t>
  </si>
  <si>
    <t>283.269.938-32</t>
  </si>
  <si>
    <t>24.272.464/0001-15</t>
  </si>
  <si>
    <t>BFF SAUDE S S</t>
  </si>
  <si>
    <t>040.055.478-00</t>
  </si>
  <si>
    <t>03.566.764/0001-37</t>
  </si>
  <si>
    <t>MEDICOS PERITOS PERICIAS MEDICAS LTDA</t>
  </si>
  <si>
    <t>187.207.143-00</t>
  </si>
  <si>
    <t>12.286.142/0001-46</t>
  </si>
  <si>
    <t>3 ARQUITETOS ASSOCIADOS LTDA</t>
  </si>
  <si>
    <t>665.172.817-20</t>
  </si>
  <si>
    <t>195.822.518-59</t>
  </si>
  <si>
    <t>06.299.003/0001-54</t>
  </si>
  <si>
    <t>EVANDRO NOBREGA AZINHEIRA CORRETAGEM</t>
  </si>
  <si>
    <t>124.440.656-20</t>
  </si>
  <si>
    <t>336.218.698-08</t>
  </si>
  <si>
    <t>11.130.084/0001-02</t>
  </si>
  <si>
    <t>11 130 084 FELIPPE JOSE RANIERI MENDES DOS SANTOS</t>
  </si>
  <si>
    <t>610.567.238-15</t>
  </si>
  <si>
    <t>402.506.138-40</t>
  </si>
  <si>
    <t>21.918.278/0001-12</t>
  </si>
  <si>
    <t>N R FRAGA</t>
  </si>
  <si>
    <t>329.914.558-45</t>
  </si>
  <si>
    <t>37.640.510/0001-33</t>
  </si>
  <si>
    <t>TD MARQUES E COMMERCE</t>
  </si>
  <si>
    <t>372.852.658-45</t>
  </si>
  <si>
    <t>20.461.178/0001-47</t>
  </si>
  <si>
    <t>PAVISOLO PAVIMENTO ASFALTICO E PAISAGISMO LTDA</t>
  </si>
  <si>
    <t>337.474.268-83</t>
  </si>
  <si>
    <t>52.178.053/0001-09</t>
  </si>
  <si>
    <t>52 178 053 THAIS RIBEIRO DOMICIANO</t>
  </si>
  <si>
    <t>979.825.987-49</t>
  </si>
  <si>
    <t>39.896.750/0001-29</t>
  </si>
  <si>
    <t>PATRICIA DO VALE MOORE 97982598749</t>
  </si>
  <si>
    <t>53.843.816/0001-43</t>
  </si>
  <si>
    <t>BONETEX CONFECCOES E BRINDES LTDA</t>
  </si>
  <si>
    <t>050.232.778-28</t>
  </si>
  <si>
    <t>04.138.227/0001-59</t>
  </si>
  <si>
    <t>CONSTLAG REFORMAS E CONSTRUCAO LTDA</t>
  </si>
  <si>
    <t>082.265.328-17</t>
  </si>
  <si>
    <t>609.163.468-20</t>
  </si>
  <si>
    <t>12.955.558/0001-00</t>
  </si>
  <si>
    <t>RZAN FEDERALY LOCADORA DE VEICULOS LTDA</t>
  </si>
  <si>
    <t>220.228.388-90</t>
  </si>
  <si>
    <t>38.048.196/0001-67</t>
  </si>
  <si>
    <t>BRAVUS COMERCIO E IMPORTACAO DE ARTIGOS ESPORTIVO</t>
  </si>
  <si>
    <t>676.815.066-91</t>
  </si>
  <si>
    <t>41.419.553/0001-60</t>
  </si>
  <si>
    <t>TECHAMMER PECAS E EQUIPAMENTOS LTDA</t>
  </si>
  <si>
    <t>326.789.348-88</t>
  </si>
  <si>
    <t>26.806.343/0001-31</t>
  </si>
  <si>
    <t>CLINICA DE TERAPIA OCUPACIONAL E PSICOLOGIA LTDA</t>
  </si>
  <si>
    <t>146.917.285-20</t>
  </si>
  <si>
    <t>199.113.748-66</t>
  </si>
  <si>
    <t>52.102.447/0001-75</t>
  </si>
  <si>
    <t>PCM BY SIM LTDA</t>
  </si>
  <si>
    <t>272.530.228-58</t>
  </si>
  <si>
    <t>07.640.688/0001-13</t>
  </si>
  <si>
    <t>DELLACORTE ESQUADRIAS DE MADEIRA LTDA</t>
  </si>
  <si>
    <t>398.620.348-66</t>
  </si>
  <si>
    <t>34.746.785/0001-68</t>
  </si>
  <si>
    <t>34 746 785 FELIPE DOUGLAS GONCALVES</t>
  </si>
  <si>
    <t>128.439.608-86</t>
  </si>
  <si>
    <t>501.065.546-20</t>
  </si>
  <si>
    <t>091.229.066-81</t>
  </si>
  <si>
    <t>074.589.966-84</t>
  </si>
  <si>
    <t>324.068.558-21</t>
  </si>
  <si>
    <t>18.431.348/0001-07</t>
  </si>
  <si>
    <t>AVBR LOCADORA LTDA</t>
  </si>
  <si>
    <t>272.985.234-49</t>
  </si>
  <si>
    <t>341.079.298-84</t>
  </si>
  <si>
    <t>15.402.502/0001-16</t>
  </si>
  <si>
    <t>EDUARDO PAULO RAMOS COSTA 34107929884</t>
  </si>
  <si>
    <t>075.766.027-40</t>
  </si>
  <si>
    <t>100.743.348-59</t>
  </si>
  <si>
    <t>10.763.245/0001-24</t>
  </si>
  <si>
    <t>SISTEMA CONSTRUCAO E INCORPORACAO LTDA</t>
  </si>
  <si>
    <t>220.132.168-07</t>
  </si>
  <si>
    <t>44.932.158/0001-75</t>
  </si>
  <si>
    <t>MANP CLINICA DE EMAGRECIMENTO E SAUDE LTDA</t>
  </si>
  <si>
    <t>288.619.798-07</t>
  </si>
  <si>
    <t>46.743.775/0001-58</t>
  </si>
  <si>
    <t>EFIT CLINICA DE EMAGRECIMENTO E SAUDE LTDA</t>
  </si>
  <si>
    <t>940.672.100-78</t>
  </si>
  <si>
    <t>45.006.109/0001-74</t>
  </si>
  <si>
    <t>MFER11 CONSULTORIA E TREINAMENTO EM FINANCAS LTDA</t>
  </si>
  <si>
    <t>410.941.348-64</t>
  </si>
  <si>
    <t>52.481.309/0001-44</t>
  </si>
  <si>
    <t>52 481 309 RENATA DE MORAIS GONCALVES</t>
  </si>
  <si>
    <t>429.301.278-80</t>
  </si>
  <si>
    <t>40.122.008/0001-45</t>
  </si>
  <si>
    <t>LTS MARKETING E MIDIAS LTDA</t>
  </si>
  <si>
    <t>441.782.668-45</t>
  </si>
  <si>
    <t>24.763.942/0001-90</t>
  </si>
  <si>
    <t>SANTA CRUZ COMERCIO DE COLCHOES LTDA</t>
  </si>
  <si>
    <t>131.419.158-65</t>
  </si>
  <si>
    <t>16.629.235/0001-87</t>
  </si>
  <si>
    <t>GIVANILDO GERALDO DA SILVA HIDRAULICA</t>
  </si>
  <si>
    <t>615.989.176-68</t>
  </si>
  <si>
    <t>52.660.219/0001-10</t>
  </si>
  <si>
    <t>MAD COMERCIO LTDA</t>
  </si>
  <si>
    <t>971.989.005-34</t>
  </si>
  <si>
    <t>53.074.502/0001-23</t>
  </si>
  <si>
    <t>LIMA GOMES ELETRICA LTDA</t>
  </si>
  <si>
    <t>282.916.538-10</t>
  </si>
  <si>
    <t>48.168.252/0001-50</t>
  </si>
  <si>
    <t>48 168 252 WANDERLEY LIMA DA SILVA</t>
  </si>
  <si>
    <t>383.195.439-91</t>
  </si>
  <si>
    <t>47.562.475/0001-35</t>
  </si>
  <si>
    <t>ASSOCIACAO DOS ESTUDANTES DA BIBLIA DE JACAREI</t>
  </si>
  <si>
    <t>355.569.958-00</t>
  </si>
  <si>
    <t>00.381.013/0001-58</t>
  </si>
  <si>
    <t>ASSOCIACAO REGIONAL BIBLICA E CULTURAL</t>
  </si>
  <si>
    <t>337.928.408-47</t>
  </si>
  <si>
    <t>15.320.022/0001-06</t>
  </si>
  <si>
    <t>ELETROREDE ENGENHARIA LTDA</t>
  </si>
  <si>
    <t>730.700.846-72</t>
  </si>
  <si>
    <t>68.523.927/0001-40</t>
  </si>
  <si>
    <t>ALFA BELT MANGUEIRAS E CORREIAS LTDA</t>
  </si>
  <si>
    <t>016.380.935-63</t>
  </si>
  <si>
    <t>320.733.348-65</t>
  </si>
  <si>
    <t>29.957.833/0001-27</t>
  </si>
  <si>
    <t>29 957 833 DOUGLAS DA SILVA ALEXANDRE</t>
  </si>
  <si>
    <t>055.276.146-07</t>
  </si>
  <si>
    <t>137.656.008-90</t>
  </si>
  <si>
    <t>008.919.798-40</t>
  </si>
  <si>
    <t>184.629.818-08</t>
  </si>
  <si>
    <t>06.900.795/0001-70</t>
  </si>
  <si>
    <t>SERENA ADMINISTRACAO E PARTICIPACOES LTDA</t>
  </si>
  <si>
    <t>908.258.106-04</t>
  </si>
  <si>
    <t>037.845.906-67</t>
  </si>
  <si>
    <t>245.634.288-76</t>
  </si>
  <si>
    <t>333.678.188-44</t>
  </si>
  <si>
    <t>28.767.527/0001-65</t>
  </si>
  <si>
    <t>JOYCE DE FATIMA BORGES CABELEIREIROS LTDA</t>
  </si>
  <si>
    <t>039.081.796-10</t>
  </si>
  <si>
    <t>17.791.254/0001-78</t>
  </si>
  <si>
    <t>PUBLIGOO LTDA</t>
  </si>
  <si>
    <t>24.170.055/0001-08</t>
  </si>
  <si>
    <t>RR COMERCIO DE GAS LTDA</t>
  </si>
  <si>
    <t>02.377.203/0001-27</t>
  </si>
  <si>
    <t>FAMACOTIA COMERCIO DE GAS LTDA</t>
  </si>
  <si>
    <t>061.316.928-07</t>
  </si>
  <si>
    <t>72.885.072/0001-74</t>
  </si>
  <si>
    <t>COMERCIAL OSASCO DE GAS E TRANSPORTES LTDA</t>
  </si>
  <si>
    <t>082.879.516-90</t>
  </si>
  <si>
    <t>30.849.357/0001-00</t>
  </si>
  <si>
    <t>ARELICE ATELIER DE DOCES LTDA</t>
  </si>
  <si>
    <t>063.946.736-92</t>
  </si>
  <si>
    <t>10.687.265/0001-63</t>
  </si>
  <si>
    <t>OPTMAX TECNOLOGIA DA INFORMACAO LTDA</t>
  </si>
  <si>
    <t>268.335.018-07</t>
  </si>
  <si>
    <t>08.014.713/0001-16</t>
  </si>
  <si>
    <t>FEG BRASIL CONSTRUCOES E INSTALACOES METALICAS LT</t>
  </si>
  <si>
    <t>048.031.716-02</t>
  </si>
  <si>
    <t>15.474.843/0001-05</t>
  </si>
  <si>
    <t>HAZAK DO BRASIL COMERCIO E LOCACAO DE MAQUINAS LT</t>
  </si>
  <si>
    <t>153.518.266-07</t>
  </si>
  <si>
    <t>43.681.870/0001-86</t>
  </si>
  <si>
    <t>KESIA JAPA DELIVERY LTDA</t>
  </si>
  <si>
    <t>229.429.688-50</t>
  </si>
  <si>
    <t>30.214.967/0001-37</t>
  </si>
  <si>
    <t>A S LEMES GONZAGA CORRESPONDENTE BANCARIO</t>
  </si>
  <si>
    <t>628.189.968-72</t>
  </si>
  <si>
    <t>02.458.866/0001-76</t>
  </si>
  <si>
    <t>CAPE SERVICOS ADMINISTRATIVOS E OPERACIONAIS LTDA</t>
  </si>
  <si>
    <t>355.236.558-30</t>
  </si>
  <si>
    <t>53.290.653/0001-19</t>
  </si>
  <si>
    <t>GOC TRANSPORTES LTDA</t>
  </si>
  <si>
    <t>149.970.948-03</t>
  </si>
  <si>
    <t>32.288.286/0001-49</t>
  </si>
  <si>
    <t>APRIMORAR EDUCACIONAL S A</t>
  </si>
  <si>
    <t>47.534.391/0001-98</t>
  </si>
  <si>
    <t>ASSOCIACAO JOSEENSE DOS ESTUDANTES DA BIBLIA</t>
  </si>
  <si>
    <t>104.921.284-30</t>
  </si>
  <si>
    <t>46.323.167/0001-94</t>
  </si>
  <si>
    <t>JAKELINE RODRIGUES DA ROCHA 10492128430</t>
  </si>
  <si>
    <t>260.053.948-43</t>
  </si>
  <si>
    <t>312.786.608-95</t>
  </si>
  <si>
    <t>806.909.807-44</t>
  </si>
  <si>
    <t>09.426.006/0001-08</t>
  </si>
  <si>
    <t>AMBIENTAL WEB ENGENHARIA LTDA</t>
  </si>
  <si>
    <t>887.604.568-68</t>
  </si>
  <si>
    <t>00.851.110/0001-67</t>
  </si>
  <si>
    <t>IRINEU DE MELO SOBRINHO MECANICA</t>
  </si>
  <si>
    <t>334.935.308-89</t>
  </si>
  <si>
    <t>18.585.004/0001-44</t>
  </si>
  <si>
    <t>SILBOR MANUTENCAO INDUSTRIAL LTDA</t>
  </si>
  <si>
    <t>047.466.018-44</t>
  </si>
  <si>
    <t>03.570.392/0001-12</t>
  </si>
  <si>
    <t>CLINICA MEDICA E ORTOPEDICA CHAKKOUR LTDA</t>
  </si>
  <si>
    <t>035.888.516-74</t>
  </si>
  <si>
    <t>081.392.636-05</t>
  </si>
  <si>
    <t>19.653.085/0001-35</t>
  </si>
  <si>
    <t>COMERCIAL ADP LTDA</t>
  </si>
  <si>
    <t>330.869.418-20</t>
  </si>
  <si>
    <t>071.579.176-10</t>
  </si>
  <si>
    <t>32.795.782/0001-99</t>
  </si>
  <si>
    <t>VITAE INDUSTRIA DE ALIMENTOS LTDA</t>
  </si>
  <si>
    <t>269.431.378-75</t>
  </si>
  <si>
    <t>282.222.918-07</t>
  </si>
  <si>
    <t>11.975.101/0001-02</t>
  </si>
  <si>
    <t>FD DE J FERREIRA PAPEIS</t>
  </si>
  <si>
    <t>332.476.478-56</t>
  </si>
  <si>
    <t>17.434.098/0001-98</t>
  </si>
  <si>
    <t>TOOLS TRANSPORTES LTDA</t>
  </si>
  <si>
    <t>220.245.618-02</t>
  </si>
  <si>
    <t>32.219.783/0001-95</t>
  </si>
  <si>
    <t>BAUMFE INDUSTRIA E COMERCIO DE ALIMENTOS LTDA</t>
  </si>
  <si>
    <t>426.121.098-38</t>
  </si>
  <si>
    <t>42.996.804/0001-32</t>
  </si>
  <si>
    <t>LOOT BAR E LOCACAO DE JOGOS LTDA</t>
  </si>
  <si>
    <t>123.802.716-40</t>
  </si>
  <si>
    <t>26.409.584/0001-47</t>
  </si>
  <si>
    <t>ORGANICO DO CHICO COMERCIO DE ALIMENTOS NATURAIS</t>
  </si>
  <si>
    <t>346.817.378-44</t>
  </si>
  <si>
    <t>53.876.730/0001-17</t>
  </si>
  <si>
    <t>SAKUMOTO PSICOLOGIA E TERAPIA OCUPACIONAL LTDA</t>
  </si>
  <si>
    <t>361.410.058-88</t>
  </si>
  <si>
    <t>54.002.600/0001-18</t>
  </si>
  <si>
    <t>419.447.668-98</t>
  </si>
  <si>
    <t>334.203.398-36</t>
  </si>
  <si>
    <t>28.455.009/0001-06</t>
  </si>
  <si>
    <t>28 455 009 KARINA DE SOUSA MACHADO</t>
  </si>
  <si>
    <t>962.235.885-34</t>
  </si>
  <si>
    <t>40.590.237/0001-94</t>
  </si>
  <si>
    <t>SHALOM MONTAGEM E MANUTENCAO INDUSTRIAL LTDA</t>
  </si>
  <si>
    <t>288.505.258-93</t>
  </si>
  <si>
    <t>21.542.947/0001-02</t>
  </si>
  <si>
    <t>R E MESSIAS FRIOS E LATICINIOS</t>
  </si>
  <si>
    <t>105.334.158-02</t>
  </si>
  <si>
    <t>96.385.711/0001-09</t>
  </si>
  <si>
    <t>MICRO POWER INFORMATICA LTDA</t>
  </si>
  <si>
    <t>183.754.138-87</t>
  </si>
  <si>
    <t>500.286.859-20</t>
  </si>
  <si>
    <t>369.943.677-20</t>
  </si>
  <si>
    <t>18.102.136/0001-78</t>
  </si>
  <si>
    <t>18 102 136 ARLENE BALAGUE TRALLERO DE OLIVEIRA</t>
  </si>
  <si>
    <t>129.361.768-75</t>
  </si>
  <si>
    <t>40.180.365/0001-60</t>
  </si>
  <si>
    <t>AG VIAGENS E TURISMO LTDA</t>
  </si>
  <si>
    <t>083.715.456-14</t>
  </si>
  <si>
    <t>24.775.252/0001-50</t>
  </si>
  <si>
    <t>SACOLAO E ACOUGUE DO JAPAO LTDA</t>
  </si>
  <si>
    <t>972.339.941-53</t>
  </si>
  <si>
    <t>670.907.968-68</t>
  </si>
  <si>
    <t>13.668.695/0001-26</t>
  </si>
  <si>
    <t>PLUMA TERCEIRIZACAO LTDA</t>
  </si>
  <si>
    <t>14.357.855/0001-89</t>
  </si>
  <si>
    <t>ASSOCIACAO LIGA VALEPARAIBANA DE ARTES MARCIAIS</t>
  </si>
  <si>
    <t>337.312.448-45</t>
  </si>
  <si>
    <t>20.156.561/0001-91</t>
  </si>
  <si>
    <t>SANTOS E SERENCH COMERCIO E REPRESENTACAO LTDA</t>
  </si>
  <si>
    <t>229.239.578-90</t>
  </si>
  <si>
    <t>36.331.649/0001-32</t>
  </si>
  <si>
    <t>397.065.288-06</t>
  </si>
  <si>
    <t>45.088.908/0001-37</t>
  </si>
  <si>
    <t>BELO PANAMBY COMERCIO DE COLCHOES LTDA</t>
  </si>
  <si>
    <t>322.962.868-36</t>
  </si>
  <si>
    <t>35.601.486/0001-06</t>
  </si>
  <si>
    <t>SERGIO EDUARDO CZUCZMAN 32296286836</t>
  </si>
  <si>
    <t>074.612.226-86</t>
  </si>
  <si>
    <t>27.081.527/0001-44</t>
  </si>
  <si>
    <t>A E F COMERCIO E SERVICOS LTDA</t>
  </si>
  <si>
    <t>293.385.848-79</t>
  </si>
  <si>
    <t>43.388.050/0001-09</t>
  </si>
  <si>
    <t>RICARDO LEANDRO DOS SANTOS 29338584879</t>
  </si>
  <si>
    <t>050.423.998-87</t>
  </si>
  <si>
    <t>03.612.679/0001-68</t>
  </si>
  <si>
    <t>COOPERATIVA DE CREDITO MUTUO DOS SERVIDORES PUBLI</t>
  </si>
  <si>
    <t>192.677.608-90</t>
  </si>
  <si>
    <t>35.635.453/0001-79</t>
  </si>
  <si>
    <t>LANCHONETE E RESTAURANTE MARTIM FRANCISCO LTDA</t>
  </si>
  <si>
    <t>076.379.618-26</t>
  </si>
  <si>
    <t>01.799.439/0001-99</t>
  </si>
  <si>
    <t>RITEC CONSERTO DE APARELHOS MEDICOS E HOSPITALARE</t>
  </si>
  <si>
    <t>107.739.318-05</t>
  </si>
  <si>
    <t>015.845.065-55</t>
  </si>
  <si>
    <t>051.321.058-07</t>
  </si>
  <si>
    <t>049.135.841-54</t>
  </si>
  <si>
    <t>048.452.208-65</t>
  </si>
  <si>
    <t>411.650.238-30</t>
  </si>
  <si>
    <t>367.440.078-23</t>
  </si>
  <si>
    <t>329.575.768-21</t>
  </si>
  <si>
    <t>359.873.578-29</t>
  </si>
  <si>
    <t>165.104.966-15</t>
  </si>
  <si>
    <t>172.326.928-03</t>
  </si>
  <si>
    <t>020.054.576-04</t>
  </si>
  <si>
    <t>46.654.197/0001-83</t>
  </si>
  <si>
    <t>CAIO LUCAS CERQUEIRA DE MORAIS 02005457604</t>
  </si>
  <si>
    <t>073.246.556-70</t>
  </si>
  <si>
    <t>52.608.095/0001-24</t>
  </si>
  <si>
    <t>52 608 095 LEANDRO AUGUSTO DE ALCANTARA PIO</t>
  </si>
  <si>
    <t>328.725.648-37</t>
  </si>
  <si>
    <t>49.989.788/0001-08</t>
  </si>
  <si>
    <t>49 989 788 LEANDRO MARCELINO DE SOUZA</t>
  </si>
  <si>
    <t>408.076.558-48</t>
  </si>
  <si>
    <t>42.779.534/0001-08</t>
  </si>
  <si>
    <t>AMANDA BELLA MODA FEMININA LTDA</t>
  </si>
  <si>
    <t>018.301.365-42</t>
  </si>
  <si>
    <t>26.708.520/0001-47</t>
  </si>
  <si>
    <t>G SANTOS BORRACHAS LTDA</t>
  </si>
  <si>
    <t>033.782.269-78</t>
  </si>
  <si>
    <t>103.508.648-45</t>
  </si>
  <si>
    <t>12.068.887/0001-39</t>
  </si>
  <si>
    <t>O P DE SOUZA PROMOCAO DE VENDAS</t>
  </si>
  <si>
    <t>051.381.726-38</t>
  </si>
  <si>
    <t>031.837.866-30</t>
  </si>
  <si>
    <t>08.433.551/0001-50</t>
  </si>
  <si>
    <t>RADIUS SERVICOS DE RADIOLOGIA LTDA</t>
  </si>
  <si>
    <t>085.874.638-70</t>
  </si>
  <si>
    <t>14.521.509/0001-94</t>
  </si>
  <si>
    <t>057.841.996-33</t>
  </si>
  <si>
    <t>169.953.428-44</t>
  </si>
  <si>
    <t>260.105.828-57</t>
  </si>
  <si>
    <t>315.029.868-76</t>
  </si>
  <si>
    <t>23.584.209/0001-45</t>
  </si>
  <si>
    <t>EMDRA COMERCIO DE PECAS INDUSTRIAIS LTDA</t>
  </si>
  <si>
    <t>436.095.706-87</t>
  </si>
  <si>
    <t>156.036.598-66</t>
  </si>
  <si>
    <t>16.578.923/0001-65</t>
  </si>
  <si>
    <t>PANDAX DO BRASIL COMERCIO ATACADO IMPORTACAO E EX</t>
  </si>
  <si>
    <t>164.475.538-66</t>
  </si>
  <si>
    <t>15.143.667/0001-10</t>
  </si>
  <si>
    <t>VANDERLEI FLORES EMBALAGENS ME</t>
  </si>
  <si>
    <t>009.069.598-45</t>
  </si>
  <si>
    <t>10.531.299/0001-64</t>
  </si>
  <si>
    <t>018.034.446-30</t>
  </si>
  <si>
    <t>49.032.467/0001-02</t>
  </si>
  <si>
    <t>SERENA VITAL ESTETICA LTDA</t>
  </si>
  <si>
    <t>218.515.288-22</t>
  </si>
  <si>
    <t>08.763.661/0001-80</t>
  </si>
  <si>
    <t>RESTAURANTE E LANCHONETE GHIRO</t>
  </si>
  <si>
    <t>319.088.966-04</t>
  </si>
  <si>
    <t>31.547.296/0001-99</t>
  </si>
  <si>
    <t>24.595.028/0001-87</t>
  </si>
  <si>
    <t>R T DE MARTIN PET SHOP</t>
  </si>
  <si>
    <t>002.294.011-12</t>
  </si>
  <si>
    <t>05.215.945/0002-25</t>
  </si>
  <si>
    <t>349.244.548-93</t>
  </si>
  <si>
    <t>23.803.196/0001-58</t>
  </si>
  <si>
    <t>DONA CLARA COMERCIO DE PRODUTOS DE LIMPEZA LTDA E</t>
  </si>
  <si>
    <t>306.340.638-47</t>
  </si>
  <si>
    <t>39.755.131/0001-14</t>
  </si>
  <si>
    <t>VINICIUS GONCALVES LTDA</t>
  </si>
  <si>
    <t>098.614.638-28</t>
  </si>
  <si>
    <t>47.388.455/0001-90</t>
  </si>
  <si>
    <t>COMERCIAL RG MENDONCA LTDA</t>
  </si>
  <si>
    <t>219.855.539-53</t>
  </si>
  <si>
    <t>27.115.754/0001-43</t>
  </si>
  <si>
    <t>VITORIA COMERCIO DE MODA LTDA</t>
  </si>
  <si>
    <t>286.239.068-29</t>
  </si>
  <si>
    <t>15.791.632/0001-98</t>
  </si>
  <si>
    <t>MINI MERCADO DOMINHO LTDA</t>
  </si>
  <si>
    <t>376.894.638-00</t>
  </si>
  <si>
    <t>24.874.085/0001-03</t>
  </si>
  <si>
    <t>JOAO PAULO JORGE 37689463800</t>
  </si>
  <si>
    <t>075.310.436-96</t>
  </si>
  <si>
    <t>29.174.746/0001-01</t>
  </si>
  <si>
    <t>308.900.218-30</t>
  </si>
  <si>
    <t>28.644.918/0001-92</t>
  </si>
  <si>
    <t>ERNANI CESAR DE OLIVEIRA LIMA 30890021830</t>
  </si>
  <si>
    <t>700.050.616-44</t>
  </si>
  <si>
    <t>53.381.625/0001-07</t>
  </si>
  <si>
    <t>53 381 625 TIAGO RICHARDSON MARTINS DE OLIVEIRA</t>
  </si>
  <si>
    <t>121.142.956-30</t>
  </si>
  <si>
    <t>44.665.296/0001-35</t>
  </si>
  <si>
    <t>44 665 296 DANIELA PEREIRA QUEIROZ</t>
  </si>
  <si>
    <t>861.621.305-84</t>
  </si>
  <si>
    <t>44.200.759/0001-93</t>
  </si>
  <si>
    <t>44 200 759 KEZIA DA SILVA SANTOS</t>
  </si>
  <si>
    <t>117.631.196-45</t>
  </si>
  <si>
    <t>388.536.538-33</t>
  </si>
  <si>
    <t>28.957.323/0001-97</t>
  </si>
  <si>
    <t>YAGO MARCHESINI DOS SANTOS 38853653833</t>
  </si>
  <si>
    <t>833.649.513-49</t>
  </si>
  <si>
    <t>46.307.424/0001-02</t>
  </si>
  <si>
    <t>ELISANGELA OLIVEIRA SILVA 83364951349</t>
  </si>
  <si>
    <t>053.297.588-07</t>
  </si>
  <si>
    <t>45.058.360/0001-82</t>
  </si>
  <si>
    <t>AGILE BIKES LTDA</t>
  </si>
  <si>
    <t>54.012.574/0001-09</t>
  </si>
  <si>
    <t>SAFE COUNT CONSULTORIA LTDA</t>
  </si>
  <si>
    <t>068.225.069-42</t>
  </si>
  <si>
    <t>256.354.578-19</t>
  </si>
  <si>
    <t>19.461.033/0001-67</t>
  </si>
  <si>
    <t>LINDOMAR CARDOSO DA SILVA CONSULTORIA E ASSESSORI</t>
  </si>
  <si>
    <t>051.970.088-06</t>
  </si>
  <si>
    <t>24.623.347/0001-59</t>
  </si>
  <si>
    <t>RELLEK TEK COMERCIAL LTDA</t>
  </si>
  <si>
    <t>732.119.070-68</t>
  </si>
  <si>
    <t>01.942.883/0001-11</t>
  </si>
  <si>
    <t>INTELLYONE TECNOLOGIA E SERVICOS LTDA</t>
  </si>
  <si>
    <t>363.107.068-37</t>
  </si>
  <si>
    <t>42.611.064/0001-79</t>
  </si>
  <si>
    <t>SANTOS E SANTOS COMERCIO DE COLCHOES LTDA</t>
  </si>
  <si>
    <t>034.659.225-90</t>
  </si>
  <si>
    <t>48.732.629/0001-52</t>
  </si>
  <si>
    <t>48 732 629 ELIEL SANTOS DE SANTANA</t>
  </si>
  <si>
    <t>012.770.196-65</t>
  </si>
  <si>
    <t>09.586.600/0001-58</t>
  </si>
  <si>
    <t>WEBLIP LIVROS E PAPELARIA LTDA</t>
  </si>
  <si>
    <t>002.342.056-10</t>
  </si>
  <si>
    <t>45.052.204/0001-04</t>
  </si>
  <si>
    <t>TORI TERAPIA OCUPACIONAL INFANTIL LTDA</t>
  </si>
  <si>
    <t>295.087.098-80</t>
  </si>
  <si>
    <t>38.087.906/0001-68</t>
  </si>
  <si>
    <t>SOKEAMA SUSHI LTDA</t>
  </si>
  <si>
    <t>321.555.098-98</t>
  </si>
  <si>
    <t>36.398.343/0001-01</t>
  </si>
  <si>
    <t>TITANIUM PROMOCIONAL LTDA</t>
  </si>
  <si>
    <t>129.113.078-01</t>
  </si>
  <si>
    <t>219.070.418-93</t>
  </si>
  <si>
    <t>41.668.292/0001-12</t>
  </si>
  <si>
    <t>WMZ STORE LTDA</t>
  </si>
  <si>
    <t>325.704.568-96</t>
  </si>
  <si>
    <t>559.951.188-03</t>
  </si>
  <si>
    <t>53.980.948/0001-17</t>
  </si>
  <si>
    <t>ZIRTEP LTDA</t>
  </si>
  <si>
    <t>017.297.606-51</t>
  </si>
  <si>
    <t>311.926.658-21</t>
  </si>
  <si>
    <t>46.860.026/0001-00</t>
  </si>
  <si>
    <t>RESTAURANTE MONTILLA LTDA</t>
  </si>
  <si>
    <t>419.985.558-01</t>
  </si>
  <si>
    <t>37.717.777/0001-81</t>
  </si>
  <si>
    <t>37 717 777 PAULA VANEZA DA SILVA CLEMENTINO</t>
  </si>
  <si>
    <t>074.069.031-03</t>
  </si>
  <si>
    <t>36.706.509/0001-00</t>
  </si>
  <si>
    <t>36 706 509 MATHEUS MEDEIROS PEREIRA</t>
  </si>
  <si>
    <t>53.709.422/0001-05</t>
  </si>
  <si>
    <t>RJ ZAIDAN SERVICOS DE APOIO ADMINISTRATIVO E NEGO</t>
  </si>
  <si>
    <t>291.779.078-41</t>
  </si>
  <si>
    <t>45.489.620/0001-74</t>
  </si>
  <si>
    <t>45 489 620 CLAUDIA REGINA RAFAEL MUNIN</t>
  </si>
  <si>
    <t>056.288.998-10</t>
  </si>
  <si>
    <t>53.946.803/0001-08</t>
  </si>
  <si>
    <t>53 946 803 EDINALVA DOS SANTOS ROCHA</t>
  </si>
  <si>
    <t>392.419.858-60</t>
  </si>
  <si>
    <t>48.514.065/0001-81</t>
  </si>
  <si>
    <t>LUCAS SANTOS BARBOSA 39241985860</t>
  </si>
  <si>
    <t>025.225.554-21</t>
  </si>
  <si>
    <t>013.812.640-26</t>
  </si>
  <si>
    <t>33.259.791/0001-28</t>
  </si>
  <si>
    <t>MAICON ROBERTO KLEIN 01381264026</t>
  </si>
  <si>
    <t>364.638.988-56</t>
  </si>
  <si>
    <t>15.572.650/0001-89</t>
  </si>
  <si>
    <t>HMFS CONSULTING LTDA</t>
  </si>
  <si>
    <t>389.898.588-10</t>
  </si>
  <si>
    <t>32.533.257/0001-03</t>
  </si>
  <si>
    <t>D F DOS SANTOS JUNIOR MANUTENCAO</t>
  </si>
  <si>
    <t>222.335.108-52</t>
  </si>
  <si>
    <t>32.732.469/0001-01</t>
  </si>
  <si>
    <t>LUCIANO ANGELO PEREIRA 22233510852</t>
  </si>
  <si>
    <t>177.421.448-24</t>
  </si>
  <si>
    <t>45.320.049/0001-60</t>
  </si>
  <si>
    <t>RTRPARTS COMERCIO IMPORTACAO E EXPORTACAO LTDA</t>
  </si>
  <si>
    <t>450.168.418-61</t>
  </si>
  <si>
    <t>046.201.716-89</t>
  </si>
  <si>
    <t>14.059.175/0001-89</t>
  </si>
  <si>
    <t>CLERMONT CINTRA ILUSTRACAO E DESIGN LTDA</t>
  </si>
  <si>
    <t>186.779.388-18</t>
  </si>
  <si>
    <t>03.231.913/0001-07</t>
  </si>
  <si>
    <t>ESCAPAMENTOS UTINGA SERVICOS AUTOMOTIVOS EIRELI</t>
  </si>
  <si>
    <t>303.189.428-60</t>
  </si>
  <si>
    <t>28.971.859/0001-67</t>
  </si>
  <si>
    <t>LCFM ESTACIONAMENTOS EIRELI</t>
  </si>
  <si>
    <t>355.549.778-20</t>
  </si>
  <si>
    <t>38.181.580/0001-33</t>
  </si>
  <si>
    <t>LARISSA SUELLEN BATISTA PIRES 35554977820</t>
  </si>
  <si>
    <t>17.078.171/0001-36</t>
  </si>
  <si>
    <t>PIM PAO PANIFICADORA LTDA</t>
  </si>
  <si>
    <t>10.427.984/0001-45</t>
  </si>
  <si>
    <t>TNX PANIFICADORA LTDA</t>
  </si>
  <si>
    <t>074.871.258-58</t>
  </si>
  <si>
    <t>60.214.517/0001-05</t>
  </si>
  <si>
    <t>UNIMED SAO JOSE DOS CAMPOS COOPERATIVA DE TRABALH</t>
  </si>
  <si>
    <t>288.219.188-07</t>
  </si>
  <si>
    <t>374.062.888-08</t>
  </si>
  <si>
    <t>41.466.869/0001-03</t>
  </si>
  <si>
    <t>PURE MEDICAL SUPRIMENTOS MEDICOS LTDA</t>
  </si>
  <si>
    <t>183.795.698-73</t>
  </si>
  <si>
    <t>28.904.205/0001-10</t>
  </si>
  <si>
    <t>28 904 205 LUIZ ROBERTO DE FARIA</t>
  </si>
  <si>
    <t>372.495.176-00</t>
  </si>
  <si>
    <t>01.291.292/0001-21</t>
  </si>
  <si>
    <t>UNNO PAES COMERCIAL LTDA</t>
  </si>
  <si>
    <t>977.698.430-49</t>
  </si>
  <si>
    <t>074.746.738-27</t>
  </si>
  <si>
    <t>54.082.827/0001-10</t>
  </si>
  <si>
    <t>JRC SERVICOS ADMINISTRATIVOS LTDA</t>
  </si>
  <si>
    <t>067.078.196-74</t>
  </si>
  <si>
    <t>40.565.635/0001-50</t>
  </si>
  <si>
    <t>DA ENGENHARIA CONSTRUCAO E REFORMA LTDA</t>
  </si>
  <si>
    <t>493.530.908-30</t>
  </si>
  <si>
    <t>53.497.504/0001-25</t>
  </si>
  <si>
    <t>53 497 504 MILENA FERREIRA BORTOLANI</t>
  </si>
  <si>
    <t>072.503.696-60</t>
  </si>
  <si>
    <t>22.787.121/0001-68</t>
  </si>
  <si>
    <t>OPC REPRESENTACOES COMERCIAIS LTDA</t>
  </si>
  <si>
    <t>296.549.948-28</t>
  </si>
  <si>
    <t>18.507.722/0001-00</t>
  </si>
  <si>
    <t>264.676.668-87</t>
  </si>
  <si>
    <t>58.631.607/0001-50</t>
  </si>
  <si>
    <t>INSTITUTO GEORGE WHITEHILL CHAMBERLAIN DE ESTUDOS</t>
  </si>
  <si>
    <t>111.548.868-67</t>
  </si>
  <si>
    <t>29.090.884/0001-02</t>
  </si>
  <si>
    <t>PANTERVINCO CAIXAS LTDA</t>
  </si>
  <si>
    <t>952.563.698-49</t>
  </si>
  <si>
    <t>10.197.323/0001-70</t>
  </si>
  <si>
    <t>FRANCISCO CORREIA TAPECARIA</t>
  </si>
  <si>
    <t>006.285.187-06</t>
  </si>
  <si>
    <t>53.758.084/0001-93</t>
  </si>
  <si>
    <t>AMG FONOAUDIOLOGIA LTDA</t>
  </si>
  <si>
    <t>069.368.427-55</t>
  </si>
  <si>
    <t>43.924.903/0001-71</t>
  </si>
  <si>
    <t>EVANDRO POLONI LOPES 06936842755</t>
  </si>
  <si>
    <t>402.920.058-30</t>
  </si>
  <si>
    <t>53.859.642/0001-07</t>
  </si>
  <si>
    <t>53 859 642 THAUANE ANDRADE RISSETTO</t>
  </si>
  <si>
    <t>330.034.083-72</t>
  </si>
  <si>
    <t>21.284.315/0001-88</t>
  </si>
  <si>
    <t>A L DE ALENCAR EMPREITEIRA</t>
  </si>
  <si>
    <t>061.127.008-08</t>
  </si>
  <si>
    <t>54.031.863/0001-55</t>
  </si>
  <si>
    <t>54 031 863 REGINALDO ESTEVES DE MOURA</t>
  </si>
  <si>
    <t>078.108.646-96</t>
  </si>
  <si>
    <t>389.941.238-90</t>
  </si>
  <si>
    <t>38.296.630/0001-28</t>
  </si>
  <si>
    <t>BARBARA FERREIRA CHIARELLO 38994123890</t>
  </si>
  <si>
    <t>454.948.338-52</t>
  </si>
  <si>
    <t>031.724.836-73</t>
  </si>
  <si>
    <t>33.286.909/0001-07</t>
  </si>
  <si>
    <t>BAZZAR MULTIMARCAS ROUPAS E ACESSORIOS LTDA</t>
  </si>
  <si>
    <t>399.987.278-04</t>
  </si>
  <si>
    <t>134.295.916-78</t>
  </si>
  <si>
    <t>51.287.141/0001-78</t>
  </si>
  <si>
    <t>ALLEXIA ANNE PAOLA DOS SANTOS ARAUJO LTDA</t>
  </si>
  <si>
    <t>090.437.378-95</t>
  </si>
  <si>
    <t>36.309.087/0001-20</t>
  </si>
  <si>
    <t>MARCO ANTONIO RATAO 09043737895</t>
  </si>
  <si>
    <t>023.785.979-32</t>
  </si>
  <si>
    <t>088.057.428-30</t>
  </si>
  <si>
    <t>18.642.453/0001-87</t>
  </si>
  <si>
    <t>3P COMUNICACAO E COMERCIO DE IMPRESSOS LTDA</t>
  </si>
  <si>
    <t>e-PJ  A1 - 1 ano</t>
  </si>
  <si>
    <t>e-CNPJ A1 Mercado Livre</t>
  </si>
  <si>
    <t xml:space="preserve">e-CNPJ A1 - 1 ano </t>
  </si>
  <si>
    <t xml:space="preserve">e-CPF A1 - 1 ano </t>
  </si>
  <si>
    <t xml:space="preserve">e-CPF A3 - remoteID - 3 anos </t>
  </si>
  <si>
    <t xml:space="preserve">e-CNPJ A3 - remoteID - 3 anos </t>
  </si>
  <si>
    <t xml:space="preserve">e-CPF A1 - Mobile </t>
  </si>
  <si>
    <t xml:space="preserve">e-CNPJ A1 - Mobile - 1 ano </t>
  </si>
  <si>
    <t xml:space="preserve">e-CPF A3 - 3 anos </t>
  </si>
  <si>
    <t xml:space="preserve">e-CNPJ A3 - 3 anos </t>
  </si>
  <si>
    <t xml:space="preserve">e-CNPJ A3 - 3 anos - PME </t>
  </si>
  <si>
    <t xml:space="preserve">e-CNPJ A1 - PME </t>
  </si>
  <si>
    <t xml:space="preserve">e-CNPJ A3 - PME - 18 meses </t>
  </si>
  <si>
    <t>A3 PF - 3 anos - AC Certisign JUS</t>
  </si>
  <si>
    <t>e-CPF A3 - remoteID - 3 anos</t>
  </si>
  <si>
    <t xml:space="preserve"> NF-e A1 PJ - 1 ano - AC Certisign Multipla</t>
  </si>
  <si>
    <t xml:space="preserve"> NF-e A1 PJ - 1 ano - AC BR RFB</t>
  </si>
  <si>
    <t>NF-e A1 PJ - 1 ano - AC BR RFB</t>
  </si>
  <si>
    <t>A3 PF - 3 anos -  JUS</t>
  </si>
  <si>
    <t xml:space="preserve">e-CPF A3 </t>
  </si>
  <si>
    <t xml:space="preserve">e-CNPJ A3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</si>
</sst>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3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439" workbookViewId="0">
      <selection activeCell="C471" sqref="C471"/>
    </sheetView>
  </sheetViews>
  <sheetFormatPr defaultColWidth="12.5703125" defaultRowHeight="15" customHeight="1"/>
  <cols>
    <col min="1" max="1" width="11.5703125" customWidth="1"/>
    <col min="2" max="2" width="13.5703125" customWidth="1"/>
    <col min="3" max="3" width="42.5703125" customWidth="1"/>
    <col min="4" max="4" width="48.85546875" customWidth="1"/>
    <col min="5" max="5" width="20.85546875" customWidth="1"/>
    <col min="6" max="6" width="33.140625" customWidth="1"/>
    <col min="7" max="7" width="30.28515625" customWidth="1"/>
    <col min="8" max="8" width="12.5703125" customWidth="1"/>
    <col min="9" max="9" width="10.85546875" customWidth="1"/>
    <col min="10" max="10" width="14.85546875" customWidth="1"/>
    <col min="11" max="11" width="22.42578125" customWidth="1"/>
    <col min="12" max="12" width="65.85546875" customWidth="1"/>
    <col min="13" max="24" width="8.5703125" customWidth="1"/>
  </cols>
  <sheetData>
    <row r="1" spans="1:1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3" t="s">
        <v>8</v>
      </c>
      <c r="I1" s="4" t="s">
        <v>9</v>
      </c>
      <c r="J1" s="1" t="s">
        <v>10</v>
      </c>
      <c r="K1" s="1" t="s">
        <v>11</v>
      </c>
      <c r="L1" s="1" t="s">
        <v>12</v>
      </c>
    </row>
    <row r="2" spans="1:12">
      <c r="A2" s="5" t="str">
        <f>Transferencia!A2</f>
        <v>19993515</v>
      </c>
      <c r="B2" s="5" t="str">
        <f>Transferencia!B2</f>
        <v>01/02/2025</v>
      </c>
      <c r="C2" s="5" t="str">
        <f>Transferencia!C2</f>
        <v>GUSTAVO CORONADO SILVA</v>
      </c>
      <c r="D2" s="5" t="str">
        <f>Transferencia!D2</f>
        <v>DANUSIA@SMCONSUL.COM.BR</v>
      </c>
      <c r="E2" s="5" t="str">
        <f>Transferencia!G2</f>
        <v>5511940346464</v>
      </c>
      <c r="F2" s="5" t="str">
        <f>Transferencia!H2</f>
        <v xml:space="preserve">e-CNPJ A3 - 3 anos - PME </v>
      </c>
      <c r="G2" s="6" t="str">
        <f>Transferencia!J2</f>
        <v>Ponto de Atendimento AR Certifast - Pauliceia/SP</v>
      </c>
      <c r="H2" s="4" t="str">
        <f>VLOOKUP(G2,Página1!G:L,6,0)</f>
        <v>Alexandre</v>
      </c>
      <c r="I2" s="4" t="s">
        <v>16</v>
      </c>
      <c r="J2" s="5" t="str">
        <f>Transferencia!L2</f>
        <v>487.045.518-85</v>
      </c>
      <c r="K2" s="5" t="str">
        <f>Transferencia!M2</f>
        <v>24.020.767/0001-40</v>
      </c>
      <c r="L2" s="5" t="str">
        <f>Transferencia!N2</f>
        <v>GMUD SERVICOS E INFORMATICA EIRELI</v>
      </c>
    </row>
    <row r="3" spans="1:12">
      <c r="A3" s="5" t="str">
        <f>Transferencia!A3</f>
        <v>19998399</v>
      </c>
      <c r="B3" s="5" t="str">
        <f>Transferencia!B3</f>
        <v>01/02/2025</v>
      </c>
      <c r="C3" s="5" t="str">
        <f>Transferencia!C3</f>
        <v>ISABELA PORTO NASCIMENTO</v>
      </c>
      <c r="D3" s="5" t="str">
        <f>Transferencia!D3</f>
        <v>isabela.nascimento@tjmg.jus.br</v>
      </c>
      <c r="E3" s="5" t="str">
        <f>Transferencia!G3</f>
        <v>5531975539005</v>
      </c>
      <c r="F3" s="5" t="str">
        <f>Transferencia!H3</f>
        <v xml:space="preserve">e-CPF A3 - 3 anos </v>
      </c>
      <c r="G3" s="6" t="str">
        <f>Transferencia!J3</f>
        <v>Ponto de Atendimento AR Certifast - Prado BH/MG - JUS</v>
      </c>
      <c r="H3" s="4" t="str">
        <f>VLOOKUP(G3,Página1!G:L,6,0)</f>
        <v>Isabella</v>
      </c>
      <c r="I3" s="4" t="s">
        <v>16</v>
      </c>
      <c r="J3" s="5" t="str">
        <f>Transferencia!L3</f>
        <v>874.483.271-00</v>
      </c>
      <c r="K3" s="5" t="str">
        <f>Transferencia!M3</f>
        <v/>
      </c>
      <c r="L3" s="5"/>
    </row>
    <row r="4" spans="1:12">
      <c r="A4" s="5" t="str">
        <f>Transferencia!A4</f>
        <v>20008751</v>
      </c>
      <c r="B4" s="5" t="str">
        <f>Transferencia!B4</f>
        <v>01/02/2025</v>
      </c>
      <c r="C4" s="5" t="str">
        <f>Transferencia!C4</f>
        <v>CLAUDIO LUIZ CARVALHO SOUZA</v>
      </c>
      <c r="D4" s="5" t="str">
        <f>Transferencia!D4</f>
        <v>claudio@engenhariapower.com.br</v>
      </c>
      <c r="E4" s="5" t="str">
        <f>Transferencia!G4</f>
        <v>551230185487</v>
      </c>
      <c r="F4" s="5" t="str">
        <f>Transferencia!H4</f>
        <v xml:space="preserve">e-CPF A3 - 3 anos </v>
      </c>
      <c r="G4" s="6" t="str">
        <f>Transferencia!J4</f>
        <v>PONTO DE ATENDIMENTO AR CERTIFAST - ANDROMEDA/SP</v>
      </c>
      <c r="H4" s="4" t="str">
        <f>VLOOKUP(G4,Página1!G:L,6,0)</f>
        <v>Rogério</v>
      </c>
      <c r="I4" s="4" t="s">
        <v>16</v>
      </c>
      <c r="J4" s="5" t="str">
        <f>Transferencia!L4</f>
        <v>027.312.736-58</v>
      </c>
      <c r="K4" s="5" t="str">
        <f>Transferencia!M4</f>
        <v/>
      </c>
      <c r="L4" s="5"/>
    </row>
    <row r="5" spans="1:12">
      <c r="A5" s="5" t="str">
        <f>Transferencia!A5</f>
        <v>22904676</v>
      </c>
      <c r="B5" s="5" t="str">
        <f>Transferencia!B5</f>
        <v>01/02/2025</v>
      </c>
      <c r="C5" s="5" t="str">
        <f>Transferencia!C5</f>
        <v>EDMUNDO MARIANO DA COSTA LANNA</v>
      </c>
      <c r="D5" s="5" t="str">
        <f>Transferencia!D5</f>
        <v>contabilidade@cimcop.com.br</v>
      </c>
      <c r="E5" s="5" t="str">
        <f>Transferencia!G5</f>
        <v>5531991665091</v>
      </c>
      <c r="F5" s="5" t="str">
        <f>Transferencia!H5</f>
        <v xml:space="preserve">e-CNPJ A1 - 1 ano </v>
      </c>
      <c r="G5" s="6" t="str">
        <f>Transferencia!J5</f>
        <v>Ponto de Atendimento AR Certifast - Prado BH/MG</v>
      </c>
      <c r="H5" s="4" t="str">
        <f>VLOOKUP(G5,Página1!G:L,6,0)</f>
        <v>Isabella</v>
      </c>
      <c r="I5" s="4" t="s">
        <v>16</v>
      </c>
      <c r="J5" s="5" t="str">
        <f>Transferencia!L5</f>
        <v>522.536.866-20</v>
      </c>
      <c r="K5" s="5" t="str">
        <f>Transferencia!M5</f>
        <v>17.161.464/0001-82</v>
      </c>
      <c r="L5" s="5"/>
    </row>
    <row r="6" spans="1:12">
      <c r="A6" s="5" t="str">
        <f>Transferencia!A6</f>
        <v>22925222</v>
      </c>
      <c r="B6" s="5" t="str">
        <f>Transferencia!B6</f>
        <v>01/02/2025</v>
      </c>
      <c r="C6" s="5" t="str">
        <f>Transferencia!C6</f>
        <v>MARIA GISELE CRUZ ANDRADE</v>
      </c>
      <c r="D6" s="5" t="str">
        <f>Transferencia!D6</f>
        <v>adm.monteferragens@gmail.com</v>
      </c>
      <c r="E6" s="5" t="str">
        <f>Transferencia!G6</f>
        <v>5511939391930</v>
      </c>
      <c r="F6" s="5" t="str">
        <f>Transferencia!H6</f>
        <v xml:space="preserve">e-CNPJ A1 - 1 ano </v>
      </c>
      <c r="G6" s="6" t="str">
        <f>Transferencia!J6</f>
        <v>Ponto de Atendimento AR Certifast - Maua Centro/SP</v>
      </c>
      <c r="H6" s="4" t="str">
        <f>VLOOKUP(G6,Página1!G:L,6,0)</f>
        <v>Ingrid</v>
      </c>
      <c r="I6" s="4" t="s">
        <v>16</v>
      </c>
      <c r="J6" s="5" t="str">
        <f>Transferencia!L6</f>
        <v>401.065.218-70</v>
      </c>
      <c r="K6" s="5" t="str">
        <f>Transferencia!M6</f>
        <v>49.393.402/0001-92</v>
      </c>
      <c r="L6" s="5"/>
    </row>
    <row r="7" spans="1:12">
      <c r="A7" s="5" t="str">
        <f>Transferencia!A7</f>
        <v>22978910</v>
      </c>
      <c r="B7" s="5" t="str">
        <f>Transferencia!B7</f>
        <v>01/02/2025</v>
      </c>
      <c r="C7" s="5" t="str">
        <f>Transferencia!C7</f>
        <v>RAFAEL RODRIGUES DE MELO</v>
      </c>
      <c r="D7" s="5" t="str">
        <f>Transferencia!D7</f>
        <v>jh.contabilidade@hotmail.com</v>
      </c>
      <c r="E7" s="5" t="str">
        <f>Transferencia!G7</f>
        <v>5511984111572</v>
      </c>
      <c r="F7" s="5" t="str">
        <f>Transferencia!H7</f>
        <v xml:space="preserve">e-CNPJ A1 - PME </v>
      </c>
      <c r="G7" s="6" t="str">
        <f>Transferencia!J7</f>
        <v>PONTO DE ATENDIMENTO AR CERTIFAST - ANDROMEDA/SP</v>
      </c>
      <c r="H7" s="4" t="str">
        <f>VLOOKUP(G7,Página1!G:L,6,0)</f>
        <v>Rogério</v>
      </c>
      <c r="I7" s="4" t="s">
        <v>16</v>
      </c>
      <c r="J7" s="5" t="str">
        <f>Transferencia!L7</f>
        <v>348.833.098-27</v>
      </c>
      <c r="K7" s="5" t="str">
        <f>Transferencia!M7</f>
        <v>53.594.729/0001-08</v>
      </c>
      <c r="L7" s="5"/>
    </row>
    <row r="8" spans="1:12">
      <c r="A8" s="5" t="str">
        <f>Transferencia!A8</f>
        <v>23000204</v>
      </c>
      <c r="B8" s="5" t="str">
        <f>Transferencia!B8</f>
        <v>01/02/2025</v>
      </c>
      <c r="C8" s="5" t="str">
        <f>Transferencia!C8</f>
        <v>WALTER SILVEIRA</v>
      </c>
      <c r="D8" s="5" t="str">
        <f>Transferencia!D8</f>
        <v>coord.societario@reluzcontabil.com.br</v>
      </c>
      <c r="E8" s="5" t="str">
        <f>Transferencia!G8</f>
        <v>5511998586363</v>
      </c>
      <c r="F8" s="5" t="str">
        <f>Transferencia!H8</f>
        <v xml:space="preserve">e-CNPJ A1 - PME </v>
      </c>
      <c r="G8" s="6" t="str">
        <f>Transferencia!J8</f>
        <v>Ponto de Atendimento AR Certifast - Maua Centro/SP</v>
      </c>
      <c r="H8" s="4" t="str">
        <f>VLOOKUP(G8,Página1!G:L,6,0)</f>
        <v>Ingrid</v>
      </c>
      <c r="I8" s="4" t="s">
        <v>16</v>
      </c>
      <c r="J8" s="5" t="str">
        <f>Transferencia!L8</f>
        <v>614.447.588-53</v>
      </c>
      <c r="K8" s="5" t="str">
        <f>Transferencia!M8</f>
        <v>39.378.578/0002-00</v>
      </c>
      <c r="L8" s="5"/>
    </row>
    <row r="9" spans="1:12">
      <c r="A9" s="5" t="str">
        <f>Transferencia!A9</f>
        <v>23005642</v>
      </c>
      <c r="B9" s="5" t="str">
        <f>Transferencia!B9</f>
        <v>01/02/2025</v>
      </c>
      <c r="C9" s="5" t="str">
        <f>Transferencia!C9</f>
        <v>EMERSON LUIS TEIXEIRA</v>
      </c>
      <c r="D9" s="5" t="str">
        <f>Transferencia!D9</f>
        <v>brenda.bulgarelli@biocontabil.com.br</v>
      </c>
      <c r="E9" s="5" t="str">
        <f>Transferencia!G9</f>
        <v>5511996005678</v>
      </c>
      <c r="F9" s="5" t="str">
        <f>Transferencia!H9</f>
        <v xml:space="preserve">e-CNPJ A1 - PME </v>
      </c>
      <c r="G9" s="6" t="str">
        <f>Transferencia!J9</f>
        <v>PONTO DE ATENDIMENTO AR CERTIFAST - ANDROMEDA/SP</v>
      </c>
      <c r="H9" s="4" t="str">
        <f>VLOOKUP(G9,Página1!G:L,6,0)</f>
        <v>Rogério</v>
      </c>
      <c r="I9" s="4" t="s">
        <v>16</v>
      </c>
      <c r="J9" s="5" t="str">
        <f>Transferencia!L9</f>
        <v>139.953.418-10</v>
      </c>
      <c r="K9" s="5" t="str">
        <f>Transferencia!M9</f>
        <v>19.005.929/0001-31</v>
      </c>
      <c r="L9" s="5"/>
    </row>
    <row r="10" spans="1:12">
      <c r="A10" s="5" t="str">
        <f>Transferencia!A10</f>
        <v>23009504</v>
      </c>
      <c r="B10" s="5" t="str">
        <f>Transferencia!B10</f>
        <v>01/02/2025</v>
      </c>
      <c r="C10" s="5" t="str">
        <f>Transferencia!C10</f>
        <v>ADALBERTO FERREIRA FILHO</v>
      </c>
      <c r="D10" s="5" t="str">
        <f>Transferencia!D10</f>
        <v>brun31ma@terra.com.br</v>
      </c>
      <c r="E10" s="5" t="str">
        <f>Transferencia!G10</f>
        <v>55</v>
      </c>
      <c r="F10" s="5" t="str">
        <f>Transferencia!H10</f>
        <v xml:space="preserve">e-CNPJ A1 - PME </v>
      </c>
      <c r="G10" s="6" t="str">
        <f>Transferencia!J10</f>
        <v>Ponto de Atendimento AR Certifast - Maua Centro/SP</v>
      </c>
      <c r="H10" s="4" t="str">
        <f>VLOOKUP(G10,Página1!G:L,6,0)</f>
        <v>Ingrid</v>
      </c>
      <c r="I10" s="4" t="s">
        <v>16</v>
      </c>
      <c r="J10" s="5" t="str">
        <f>Transferencia!L10</f>
        <v>008.226.258-65</v>
      </c>
      <c r="K10" s="5" t="str">
        <f>Transferencia!M10</f>
        <v>35.524.722/0001-20</v>
      </c>
      <c r="L10" s="5"/>
    </row>
    <row r="11" spans="1:12">
      <c r="A11" s="5" t="str">
        <f>Transferencia!A11</f>
        <v>23013368</v>
      </c>
      <c r="B11" s="5" t="str">
        <f>Transferencia!B11</f>
        <v>01/02/2025</v>
      </c>
      <c r="C11" s="5" t="str">
        <f>Transferencia!C11</f>
        <v>HUGO CARDOSO GONCALVES PEREIRA</v>
      </c>
      <c r="D11" s="5" t="str">
        <f>Transferencia!D11</f>
        <v>goncalves.hugo@outlook.com</v>
      </c>
      <c r="E11" s="5" t="str">
        <f>Transferencia!G11</f>
        <v>5511949407981</v>
      </c>
      <c r="F11" s="5" t="str">
        <f>Transferencia!H11</f>
        <v xml:space="preserve">e-CNPJ A1 - 1 ano </v>
      </c>
      <c r="G11" s="6" t="str">
        <f>Transferencia!J11</f>
        <v>Ponto de Atendimento AR Certifast - Maua Centro/SP</v>
      </c>
      <c r="H11" s="4" t="str">
        <f>VLOOKUP(G11,Página1!G:L,6,0)</f>
        <v>Ingrid</v>
      </c>
      <c r="I11" s="4" t="s">
        <v>16</v>
      </c>
      <c r="J11" s="5" t="str">
        <f>Transferencia!L11</f>
        <v>403.679.028-50</v>
      </c>
      <c r="K11" s="5" t="str">
        <f>Transferencia!M11</f>
        <v>37.403.134/0001-63</v>
      </c>
      <c r="L11" s="5"/>
    </row>
    <row r="12" spans="1:12">
      <c r="A12" s="5" t="str">
        <f>Transferencia!A12</f>
        <v>23014736</v>
      </c>
      <c r="B12" s="5" t="str">
        <f>Transferencia!B12</f>
        <v>01/02/2025</v>
      </c>
      <c r="C12" s="5" t="str">
        <f>Transferencia!C12</f>
        <v>DAYANE ONILES BATISTA DA SILVA</v>
      </c>
      <c r="D12" s="5" t="str">
        <f>Transferencia!D12</f>
        <v>dayane.obs@gmail.com</v>
      </c>
      <c r="E12" s="5" t="str">
        <f>Transferencia!G12</f>
        <v>55</v>
      </c>
      <c r="F12" s="5" t="str">
        <f>Transferencia!H12</f>
        <v xml:space="preserve">e-CNPJ A1 - 1 ano </v>
      </c>
      <c r="G12" s="6" t="str">
        <f>Transferencia!J12</f>
        <v>Ponto de Atendimento AR Certifast - Maua Centro/SP</v>
      </c>
      <c r="H12" s="4" t="str">
        <f>VLOOKUP(G12,Página1!G:L,6,0)</f>
        <v>Ingrid</v>
      </c>
      <c r="I12" s="4" t="s">
        <v>16</v>
      </c>
      <c r="J12" s="5" t="str">
        <f>Transferencia!L12</f>
        <v>375.947.258-32</v>
      </c>
      <c r="K12" s="5" t="str">
        <f>Transferencia!M12</f>
        <v>46.138.623/0001-26</v>
      </c>
      <c r="L12" s="5"/>
    </row>
    <row r="13" spans="1:12">
      <c r="A13" s="5" t="str">
        <f>Transferencia!A13</f>
        <v>23018988</v>
      </c>
      <c r="B13" s="5" t="str">
        <f>Transferencia!B13</f>
        <v>01/02/2025</v>
      </c>
      <c r="C13" s="5" t="str">
        <f>Transferencia!C13</f>
        <v>ALBERTO SIQUEIRA FERREIRA</v>
      </c>
      <c r="D13" s="5" t="str">
        <f>Transferencia!D13</f>
        <v>albertosq@gmail.com</v>
      </c>
      <c r="E13" s="5" t="str">
        <f>Transferencia!G13</f>
        <v>55</v>
      </c>
      <c r="F13" s="5" t="str">
        <f>Transferencia!H13</f>
        <v xml:space="preserve">e-CNPJ A1 - PME </v>
      </c>
      <c r="G13" s="6" t="str">
        <f>Transferencia!J13</f>
        <v>Ponto de Atendimento AR Certifast - Maua Centro/SP</v>
      </c>
      <c r="H13" s="4" t="str">
        <f>VLOOKUP(G13,Página1!G:L,6,0)</f>
        <v>Ingrid</v>
      </c>
      <c r="I13" s="4" t="s">
        <v>16</v>
      </c>
      <c r="J13" s="5" t="str">
        <f>Transferencia!L13</f>
        <v>377.932.518-73</v>
      </c>
      <c r="K13" s="5" t="str">
        <f>Transferencia!M13</f>
        <v>37.005.872/0001-52</v>
      </c>
      <c r="L13" s="5" t="s">
        <v>21</v>
      </c>
    </row>
    <row r="14" spans="1:12">
      <c r="A14" s="5" t="str">
        <f>Transferencia!A14</f>
        <v>23021199</v>
      </c>
      <c r="B14" s="5" t="str">
        <f>Transferencia!B14</f>
        <v>01/02/2025</v>
      </c>
      <c r="C14" s="5" t="str">
        <f>Transferencia!C14</f>
        <v>AGENILTO ALVES DA CRUZ</v>
      </c>
      <c r="D14" s="5" t="str">
        <f>Transferencia!D14</f>
        <v>coord.societario@reluzcontabil.com.br</v>
      </c>
      <c r="E14" s="5" t="str">
        <f>Transferencia!G14</f>
        <v>5511971486400</v>
      </c>
      <c r="F14" s="5" t="str">
        <f>Transferencia!H14</f>
        <v xml:space="preserve">e-CPF A1 - 1 ano </v>
      </c>
      <c r="G14" s="6" t="str">
        <f>Transferencia!J14</f>
        <v>Ponto de Atendimento AR Certifast - Maua Centro/SP</v>
      </c>
      <c r="H14" s="4" t="str">
        <f>VLOOKUP(G14,Página1!G:L,6,0)</f>
        <v>Ingrid</v>
      </c>
      <c r="I14" s="4" t="s">
        <v>16</v>
      </c>
      <c r="J14" s="5" t="str">
        <f>Transferencia!L14</f>
        <v>182.969.108-29</v>
      </c>
      <c r="K14" s="5" t="str">
        <f>Transferencia!M14</f>
        <v/>
      </c>
      <c r="L14" s="5" t="s">
        <v>25</v>
      </c>
    </row>
    <row r="15" spans="1:12">
      <c r="A15" s="5" t="str">
        <f>Transferencia!A15</f>
        <v>23022711</v>
      </c>
      <c r="B15" s="5" t="str">
        <f>Transferencia!B15</f>
        <v>01/02/2025</v>
      </c>
      <c r="C15" s="5" t="str">
        <f>Transferencia!C15</f>
        <v>ANA PAULA OJEDA DE OLIVEIRA</v>
      </c>
      <c r="D15" s="5" t="str">
        <f>Transferencia!D15</f>
        <v>coord.societario@reluzcontabil.com.br</v>
      </c>
      <c r="E15" s="5" t="str">
        <f>Transferencia!G15</f>
        <v>5511911445032</v>
      </c>
      <c r="F15" s="5" t="str">
        <f>Transferencia!H15</f>
        <v xml:space="preserve">e-CPF A1 - 1 ano </v>
      </c>
      <c r="G15" s="6" t="str">
        <f>Transferencia!J15</f>
        <v>Ponto de Atendimento AR Certifast - Maua Centro/SP</v>
      </c>
      <c r="H15" s="4" t="str">
        <f>VLOOKUP(G15,Página1!G:L,6,0)</f>
        <v>Ingrid</v>
      </c>
      <c r="I15" s="4" t="s">
        <v>16</v>
      </c>
      <c r="J15" s="5" t="str">
        <f>Transferencia!L15</f>
        <v>221.613.368-00</v>
      </c>
      <c r="K15" s="5" t="str">
        <f>Transferencia!M15</f>
        <v/>
      </c>
      <c r="L15" s="5"/>
    </row>
    <row r="16" spans="1:12">
      <c r="A16" s="5" t="str">
        <f>Transferencia!A16</f>
        <v>23023472</v>
      </c>
      <c r="B16" s="5" t="str">
        <f>Transferencia!B16</f>
        <v>01/02/2025</v>
      </c>
      <c r="C16" s="5" t="str">
        <f>Transferencia!C16</f>
        <v>MARCEL SANT ANA GUARIENTE</v>
      </c>
      <c r="D16" s="5" t="str">
        <f>Transferencia!D16</f>
        <v>marcel.guariente@gmail.com</v>
      </c>
      <c r="E16" s="5" t="str">
        <f>Transferencia!G16</f>
        <v>55</v>
      </c>
      <c r="F16" s="5" t="str">
        <f>Transferencia!H16</f>
        <v xml:space="preserve">e-CPF A1 - 1 ano </v>
      </c>
      <c r="G16" s="6" t="str">
        <f>Transferencia!J16</f>
        <v>Ponto de Atendimento AR Certifast - Maua Centro/SP</v>
      </c>
      <c r="H16" s="4" t="str">
        <f>VLOOKUP(G16,Página1!G:L,6,0)</f>
        <v>Ingrid</v>
      </c>
      <c r="I16" s="4" t="s">
        <v>16</v>
      </c>
      <c r="J16" s="5" t="str">
        <f>Transferencia!L16</f>
        <v>410.216.078-78</v>
      </c>
      <c r="K16" s="5" t="str">
        <f>Transferencia!M16</f>
        <v/>
      </c>
      <c r="L16" s="5"/>
    </row>
    <row r="17" spans="1:12">
      <c r="A17" s="5" t="str">
        <f>Transferencia!A17</f>
        <v>23026458</v>
      </c>
      <c r="B17" s="5" t="str">
        <f>Transferencia!B17</f>
        <v>01/02/2025</v>
      </c>
      <c r="C17" s="5" t="str">
        <f>Transferencia!C17</f>
        <v>ADALTO LOURENCO SANTOS</v>
      </c>
      <c r="D17" s="5" t="str">
        <f>Transferencia!D17</f>
        <v>coord.societario@reluzcontabil.com.br</v>
      </c>
      <c r="E17" s="5" t="str">
        <f>Transferencia!G17</f>
        <v>5513997174553</v>
      </c>
      <c r="F17" s="5" t="str">
        <f>Transferencia!H17</f>
        <v xml:space="preserve">e-CNPJ A1 - PME </v>
      </c>
      <c r="G17" s="6" t="str">
        <f>Transferencia!J17</f>
        <v>Ponto de Atendimento AR Certifast - Maua Centro/SP</v>
      </c>
      <c r="H17" s="4" t="str">
        <f>VLOOKUP(G17,Página1!G:L,6,0)</f>
        <v>Ingrid</v>
      </c>
      <c r="I17" s="4" t="s">
        <v>16</v>
      </c>
      <c r="J17" s="5" t="str">
        <f>Transferencia!L17</f>
        <v>289.509.778-00</v>
      </c>
      <c r="K17" s="5" t="str">
        <f>Transferencia!M17</f>
        <v>32.147.600/0001-73</v>
      </c>
      <c r="L17" s="5" t="s">
        <v>27</v>
      </c>
    </row>
    <row r="18" spans="1:12">
      <c r="A18" s="5" t="str">
        <f>Transferencia!A18</f>
        <v>23026909</v>
      </c>
      <c r="B18" s="5" t="str">
        <f>Transferencia!B18</f>
        <v>01/02/2025</v>
      </c>
      <c r="C18" s="5" t="str">
        <f>Transferencia!C18</f>
        <v>GISLAINE MARTINS</v>
      </c>
      <c r="D18" s="5" t="str">
        <f>Transferencia!D18</f>
        <v>contabilidade2@escritoriocontabiletica.com.br</v>
      </c>
      <c r="E18" s="5" t="str">
        <f>Transferencia!G18</f>
        <v>55</v>
      </c>
      <c r="F18" s="5" t="str">
        <f>Transferencia!H18</f>
        <v xml:space="preserve">e-CNPJ A1 - 1 ano </v>
      </c>
      <c r="G18" s="6" t="str">
        <f>Transferencia!J18</f>
        <v>Ponto de Atendimento AR Certifast - Maua Centro/SP</v>
      </c>
      <c r="H18" s="4" t="str">
        <f>VLOOKUP(G18,Página1!G:L,6,0)</f>
        <v>Ingrid</v>
      </c>
      <c r="I18" s="4" t="s">
        <v>16</v>
      </c>
      <c r="J18" s="5" t="str">
        <f>Transferencia!L18</f>
        <v>170.433.338-57</v>
      </c>
      <c r="K18" s="5" t="str">
        <f>Transferencia!M18</f>
        <v>10.994.130/0001-40</v>
      </c>
      <c r="L18" s="5" t="s">
        <v>28</v>
      </c>
    </row>
    <row r="19" spans="1:12">
      <c r="A19" s="5" t="str">
        <f>Transferencia!A19</f>
        <v>23027103</v>
      </c>
      <c r="B19" s="5" t="str">
        <f>Transferencia!B19</f>
        <v>01/02/2025</v>
      </c>
      <c r="C19" s="5" t="str">
        <f>Transferencia!C19</f>
        <v>JOSE FABIO NETTO PARENTONI</v>
      </c>
      <c r="D19" s="5" t="str">
        <f>Transferencia!D19</f>
        <v>henriquepedrosa@madeplan.com.br</v>
      </c>
      <c r="E19" s="5" t="str">
        <f>Transferencia!G19</f>
        <v>5531989014897</v>
      </c>
      <c r="F19" s="5" t="str">
        <f>Transferencia!H19</f>
        <v xml:space="preserve">e-CNPJ A1 - 1 ano </v>
      </c>
      <c r="G19" s="6" t="str">
        <f>Transferencia!J19</f>
        <v>Ponto de Atendimento AR Certifast - Prado BH/MG</v>
      </c>
      <c r="H19" s="4" t="str">
        <f>VLOOKUP(G19,Página1!G:L,6,0)</f>
        <v>Isabella</v>
      </c>
      <c r="I19" s="4" t="s">
        <v>16</v>
      </c>
      <c r="J19" s="5" t="str">
        <f>Transferencia!L19</f>
        <v>500.784.886-72</v>
      </c>
      <c r="K19" s="5" t="str">
        <f>Transferencia!M19</f>
        <v>21.097.712/0001-40</v>
      </c>
      <c r="L19" s="5" t="s">
        <v>29</v>
      </c>
    </row>
    <row r="20" spans="1:12">
      <c r="A20" s="5" t="str">
        <f>Transferencia!A20</f>
        <v>23028744</v>
      </c>
      <c r="B20" s="5" t="str">
        <f>Transferencia!B20</f>
        <v>01/02/2025</v>
      </c>
      <c r="C20" s="5" t="str">
        <f>Transferencia!C20</f>
        <v>LEANDRO CUNHA LOBO</v>
      </c>
      <c r="D20" s="5" t="str">
        <f>Transferencia!D20</f>
        <v>coord.societario@reluzcontabil.com.br</v>
      </c>
      <c r="E20" s="5" t="str">
        <f>Transferencia!G20</f>
        <v>5511947888348</v>
      </c>
      <c r="F20" s="5" t="str">
        <f>Transferencia!H20</f>
        <v xml:space="preserve">e-CNPJ A1 - PME </v>
      </c>
      <c r="G20" s="6" t="str">
        <f>Transferencia!J20</f>
        <v>Ponto de Atendimento AR Certifast - Maua Centro/SP</v>
      </c>
      <c r="H20" s="4" t="str">
        <f>VLOOKUP(G20,Página1!G:L,6,0)</f>
        <v>Ingrid</v>
      </c>
      <c r="I20" s="4" t="s">
        <v>16</v>
      </c>
      <c r="J20" s="5" t="str">
        <f>Transferencia!L20</f>
        <v>290.105.428-58</v>
      </c>
      <c r="K20" s="5" t="str">
        <f>Transferencia!M20</f>
        <v>14.338.663/0001-25</v>
      </c>
      <c r="L20" s="5" t="s">
        <v>31</v>
      </c>
    </row>
    <row r="21" spans="1:12" ht="15.75" customHeight="1">
      <c r="A21" s="5" t="str">
        <f>Transferencia!A21</f>
        <v>23029772</v>
      </c>
      <c r="B21" s="5" t="str">
        <f>Transferencia!B21</f>
        <v>01/02/2025</v>
      </c>
      <c r="C21" s="5" t="str">
        <f>Transferencia!C21</f>
        <v>MARCOS FIGUEIRA JAJA</v>
      </c>
      <c r="D21" s="5" t="str">
        <f>Transferencia!D21</f>
        <v>mavilinborges@gmail.com</v>
      </c>
      <c r="E21" s="5" t="str">
        <f>Transferencia!G21</f>
        <v>5512991279955</v>
      </c>
      <c r="F21" s="5" t="str">
        <f>Transferencia!H21</f>
        <v xml:space="preserve">e-CNPJ A1 - PME </v>
      </c>
      <c r="G21" s="6" t="str">
        <f>Transferencia!J21</f>
        <v>PONTO DE ATENDIMENTO AR CERTIFAST - ANDROMEDA/SP</v>
      </c>
      <c r="H21" s="4" t="str">
        <f>VLOOKUP(G21,Página1!G:L,6,0)</f>
        <v>Rogério</v>
      </c>
      <c r="I21" s="4" t="s">
        <v>16</v>
      </c>
      <c r="J21" s="5" t="str">
        <f>Transferencia!L21</f>
        <v>199.190.568-80</v>
      </c>
      <c r="K21" s="5" t="str">
        <f>Transferencia!M21</f>
        <v>48.790.576/0001-26</v>
      </c>
      <c r="L21" s="5" t="s">
        <v>32</v>
      </c>
    </row>
    <row r="22" spans="1:12" ht="15.75" customHeight="1">
      <c r="A22" s="5" t="str">
        <f>Transferencia!A22</f>
        <v>23030018</v>
      </c>
      <c r="B22" s="5" t="str">
        <f>Transferencia!B22</f>
        <v>01/02/2025</v>
      </c>
      <c r="C22" s="5" t="str">
        <f>Transferencia!C22</f>
        <v>WARLEY GONCALVES DA SILVA</v>
      </c>
      <c r="D22" s="5" t="str">
        <f>Transferencia!D22</f>
        <v>warley.gsilva@yahoo.com.br</v>
      </c>
      <c r="E22" s="5" t="str">
        <f>Transferencia!G22</f>
        <v>5531988011346</v>
      </c>
      <c r="F22" s="5" t="str">
        <f>Transferencia!H22</f>
        <v xml:space="preserve">e-CNPJ A1 - PME </v>
      </c>
      <c r="G22" s="6" t="str">
        <f>Transferencia!J22</f>
        <v>Ponto de Atendimento AR Certifast - Prado BH/MG</v>
      </c>
      <c r="H22" s="4" t="str">
        <f>VLOOKUP(G22,Página1!G:L,6,0)</f>
        <v>Isabella</v>
      </c>
      <c r="I22" s="4" t="s">
        <v>16</v>
      </c>
      <c r="J22" s="5" t="str">
        <f>Transferencia!L22</f>
        <v>068.149.256-21</v>
      </c>
      <c r="K22" s="5" t="str">
        <f>Transferencia!M22</f>
        <v>53.190.477/0001-43</v>
      </c>
      <c r="L22" s="5" t="s">
        <v>34</v>
      </c>
    </row>
    <row r="23" spans="1:12" ht="15.75" customHeight="1">
      <c r="A23" s="5" t="str">
        <f>Transferencia!A23</f>
        <v>23030433</v>
      </c>
      <c r="B23" s="5" t="str">
        <f>Transferencia!B23</f>
        <v>01/02/2025</v>
      </c>
      <c r="C23" s="5" t="str">
        <f>Transferencia!C23</f>
        <v>DEOCLECIO GOMES DO NASCIMENTO</v>
      </c>
      <c r="D23" s="5" t="str">
        <f>Transferencia!D23</f>
        <v>contresult@gmail.com</v>
      </c>
      <c r="E23" s="5" t="str">
        <f>Transferencia!G23</f>
        <v>5512974014347</v>
      </c>
      <c r="F23" s="5" t="str">
        <f>Transferencia!H23</f>
        <v>e-PJ  A1 - 1 ano</v>
      </c>
      <c r="G23" s="6" t="str">
        <f>Transferencia!J23</f>
        <v>PONTO DE ATENDIMENTO AR CERTIFAST - ANDROMEDA/SP</v>
      </c>
      <c r="H23" s="4" t="str">
        <f>VLOOKUP(G23,Página1!G:L,6,0)</f>
        <v>Rogério</v>
      </c>
      <c r="I23" s="4" t="s">
        <v>16</v>
      </c>
      <c r="J23" s="5" t="str">
        <f>Transferencia!L23</f>
        <v>253.457.518-03</v>
      </c>
      <c r="K23" s="5" t="str">
        <f>Transferencia!M23</f>
        <v>07.530.477/0001-28</v>
      </c>
      <c r="L23" s="5" t="s">
        <v>35</v>
      </c>
    </row>
    <row r="24" spans="1:12" ht="15.75" customHeight="1">
      <c r="A24" s="5" t="str">
        <f>Transferencia!A24</f>
        <v>23030865</v>
      </c>
      <c r="B24" s="5" t="str">
        <f>Transferencia!B24</f>
        <v>01/02/2025</v>
      </c>
      <c r="C24" s="5" t="str">
        <f>Transferencia!C24</f>
        <v>RODRIGO MAIA DURANTE</v>
      </c>
      <c r="D24" s="5" t="str">
        <f>Transferencia!D24</f>
        <v>rodrigo@jpcientifica.com.br</v>
      </c>
      <c r="E24" s="5" t="str">
        <f>Transferencia!G24</f>
        <v>5531991920025</v>
      </c>
      <c r="F24" s="5" t="str">
        <f>Transferencia!H24</f>
        <v xml:space="preserve">e-CNPJ A1 - PME </v>
      </c>
      <c r="G24" s="6" t="str">
        <f>Transferencia!J24</f>
        <v>Ponto de Atendimento AR Certifast - Prado BH/MG</v>
      </c>
      <c r="H24" s="4" t="str">
        <f>VLOOKUP(G24,Página1!G:L,6,0)</f>
        <v>Isabella</v>
      </c>
      <c r="I24" s="4" t="s">
        <v>16</v>
      </c>
      <c r="J24" s="5" t="str">
        <f>Transferencia!L24</f>
        <v>029.216.446-73</v>
      </c>
      <c r="K24" s="5" t="str">
        <f>Transferencia!M24</f>
        <v>49.387.733/0001-10</v>
      </c>
      <c r="L24" s="5" t="s">
        <v>36</v>
      </c>
    </row>
    <row r="25" spans="1:12" ht="15.75" customHeight="1">
      <c r="A25" s="5" t="str">
        <f>Transferencia!A25</f>
        <v>23031487</v>
      </c>
      <c r="B25" s="5" t="str">
        <f>Transferencia!B25</f>
        <v>01/02/2025</v>
      </c>
      <c r="C25" s="5" t="str">
        <f>Transferencia!C25</f>
        <v>PATRICK TEIXEIRA DUARTE</v>
      </c>
      <c r="D25" s="5" t="str">
        <f>Transferencia!D25</f>
        <v>patricktd@gmail.com</v>
      </c>
      <c r="E25" s="5" t="str">
        <f>Transferencia!G25</f>
        <v>5531993956144</v>
      </c>
      <c r="F25" s="5" t="str">
        <f>Transferencia!H25</f>
        <v xml:space="preserve">e-CNPJ A1 - PME </v>
      </c>
      <c r="G25" s="6" t="str">
        <f>Transferencia!J25</f>
        <v>Ponto de Atendimento AR Certifast - Prado BH/MG</v>
      </c>
      <c r="H25" s="4" t="str">
        <f>VLOOKUP(G25,Página1!G:L,6,0)</f>
        <v>Isabella</v>
      </c>
      <c r="I25" s="4" t="s">
        <v>16</v>
      </c>
      <c r="J25" s="5" t="str">
        <f>Transferencia!L25</f>
        <v>035.107.876-25</v>
      </c>
      <c r="K25" s="5" t="str">
        <f>Transferencia!M25</f>
        <v>37.558.567/0001-98</v>
      </c>
      <c r="L25" s="5"/>
    </row>
    <row r="26" spans="1:12" ht="15.75" customHeight="1">
      <c r="A26" s="5" t="str">
        <f>Transferencia!A26</f>
        <v>19967581</v>
      </c>
      <c r="B26" s="5" t="str">
        <f>Transferencia!B26</f>
        <v>02/02/2025</v>
      </c>
      <c r="C26" s="5" t="str">
        <f>Transferencia!C26</f>
        <v>LETICIA VARIN ANTUNES</v>
      </c>
      <c r="D26" s="5" t="str">
        <f>Transferencia!D26</f>
        <v>leticia.varin@tjmg.jus.br</v>
      </c>
      <c r="E26" s="5" t="str">
        <f>Transferencia!G26</f>
        <v>5535999664635</v>
      </c>
      <c r="F26" s="5" t="str">
        <f>Transferencia!H26</f>
        <v xml:space="preserve">e-CPF A3 - 3 anos </v>
      </c>
      <c r="G26" s="6" t="str">
        <f>Transferencia!J26</f>
        <v>Ponto de Atendimento AR Certifast - Pauliceia/SP - Jus</v>
      </c>
      <c r="H26" s="4" t="e">
        <f>VLOOKUP(G26,Página1!G:L,6,0)</f>
        <v>#N/A</v>
      </c>
      <c r="I26" s="4" t="s">
        <v>16</v>
      </c>
      <c r="J26" s="5" t="str">
        <f>Transferencia!L26</f>
        <v>288.413.228-70</v>
      </c>
      <c r="K26" s="5" t="str">
        <f>Transferencia!M26</f>
        <v/>
      </c>
      <c r="L26" s="5"/>
    </row>
    <row r="27" spans="1:12" ht="15.75" customHeight="1">
      <c r="A27" s="5" t="str">
        <f>Transferencia!A27</f>
        <v>20034536</v>
      </c>
      <c r="B27" s="5" t="str">
        <f>Transferencia!B27</f>
        <v>02/02/2025</v>
      </c>
      <c r="C27" s="5" t="str">
        <f>Transferencia!C27</f>
        <v>ANDRE KEIGO YOSHIKAWA</v>
      </c>
      <c r="D27" s="5" t="str">
        <f>Transferencia!D27</f>
        <v>keigo@uol.com.br</v>
      </c>
      <c r="E27" s="5" t="str">
        <f>Transferencia!G27</f>
        <v>5511994941257</v>
      </c>
      <c r="F27" s="5" t="str">
        <f>Transferencia!H27</f>
        <v xml:space="preserve">e-CNPJ A3 - 3 anos </v>
      </c>
      <c r="G27" s="6" t="str">
        <f>Transferencia!J27</f>
        <v>AR Certifast</v>
      </c>
      <c r="H27" s="4" t="str">
        <f>VLOOKUP(G27,Página1!G:L,6,0)</f>
        <v>Alexandre</v>
      </c>
      <c r="I27" s="4" t="s">
        <v>16</v>
      </c>
      <c r="J27" s="5" t="str">
        <f>Transferencia!L27</f>
        <v>184.758.198-69</v>
      </c>
      <c r="K27" s="5" t="str">
        <f>Transferencia!M27</f>
        <v>00.565.701/0001-78</v>
      </c>
      <c r="L27" s="5" t="s">
        <v>38</v>
      </c>
    </row>
    <row r="28" spans="1:12" ht="15.75" customHeight="1">
      <c r="A28" s="5" t="str">
        <f>Transferencia!A28</f>
        <v>20043536</v>
      </c>
      <c r="B28" s="5" t="str">
        <f>Transferencia!B28</f>
        <v>03/02/2025</v>
      </c>
      <c r="C28" s="5" t="str">
        <f>Transferencia!C28</f>
        <v>WALDEMIRO ELIAS MEIRA JUNIOR</v>
      </c>
      <c r="D28" s="5" t="str">
        <f>Transferencia!D28</f>
        <v>ALVES.MEIRA@HOTMAIL.COM</v>
      </c>
      <c r="E28" s="5" t="str">
        <f>Transferencia!G28</f>
        <v>5566999632858</v>
      </c>
      <c r="F28" s="5" t="str">
        <f>Transferencia!H28</f>
        <v xml:space="preserve">e-CNPJ A3 - 3 anos - PME </v>
      </c>
      <c r="G28" s="6" t="str">
        <f>Transferencia!J28</f>
        <v>AR Certifast</v>
      </c>
      <c r="H28" s="4" t="str">
        <f>VLOOKUP(G28,Página1!G:L,6,0)</f>
        <v>Alexandre</v>
      </c>
      <c r="I28" s="4" t="s">
        <v>16</v>
      </c>
      <c r="J28" s="5" t="str">
        <f>Transferencia!L28</f>
        <v>862.909.591-15</v>
      </c>
      <c r="K28" s="5" t="str">
        <f>Transferencia!M28</f>
        <v>02.590.231/0001-28</v>
      </c>
      <c r="L28" s="5" t="s">
        <v>39</v>
      </c>
    </row>
    <row r="29" spans="1:12" ht="15.75" customHeight="1">
      <c r="A29" s="5" t="str">
        <f>Transferencia!A29</f>
        <v>22949586</v>
      </c>
      <c r="B29" s="5" t="str">
        <f>Transferencia!B29</f>
        <v>04/02/2025</v>
      </c>
      <c r="C29" s="5" t="str">
        <f>Transferencia!C29</f>
        <v>FABIO HENRIQUE DE OLIVEIRA MARTINS</v>
      </c>
      <c r="D29" s="5" t="str">
        <f>Transferencia!D29</f>
        <v>financeiro@onoffmarketing.com.br</v>
      </c>
      <c r="E29" s="5" t="str">
        <f>Transferencia!G29</f>
        <v>5531987092523</v>
      </c>
      <c r="F29" s="5" t="str">
        <f>Transferencia!H29</f>
        <v xml:space="preserve">e-CNPJ A1 - PME </v>
      </c>
      <c r="G29" s="6" t="str">
        <f>Transferencia!J29</f>
        <v>Ponto de Atendimento AR Certifast - Prado BH/MG</v>
      </c>
      <c r="H29" s="4" t="str">
        <f>VLOOKUP(G29,Página1!G:L,6,0)</f>
        <v>Isabella</v>
      </c>
      <c r="I29" s="4" t="s">
        <v>16</v>
      </c>
      <c r="J29" s="5" t="str">
        <f>Transferencia!L29</f>
        <v>067.812.186-97</v>
      </c>
      <c r="K29" s="5" t="str">
        <f>Transferencia!M29</f>
        <v>21.491.555/0001-53</v>
      </c>
      <c r="L29" s="5"/>
    </row>
    <row r="30" spans="1:12" ht="15.75" customHeight="1">
      <c r="A30" s="5" t="str">
        <f>Transferencia!A30</f>
        <v>22976869</v>
      </c>
      <c r="B30" s="5" t="str">
        <f>Transferencia!B30</f>
        <v>04/02/2025</v>
      </c>
      <c r="C30" s="5" t="str">
        <f>Transferencia!C30</f>
        <v>DOUGLAS MICHAEL SIMMONS</v>
      </c>
      <c r="D30" s="5" t="str">
        <f>Transferencia!D30</f>
        <v>contabilidade@afccontabilsjc.com.br</v>
      </c>
      <c r="E30" s="5" t="str">
        <f>Transferencia!G30</f>
        <v>5512991726007</v>
      </c>
      <c r="F30" s="5" t="str">
        <f>Transferencia!H30</f>
        <v xml:space="preserve">e-CNPJ A1 - PME </v>
      </c>
      <c r="G30" s="6" t="str">
        <f>Transferencia!J30</f>
        <v>PONTO DE ATENDIMENTO AR CERTIFAST - ANDROMEDA/SP</v>
      </c>
      <c r="H30" s="4" t="str">
        <f>VLOOKUP(G30,Página1!G:L,6,0)</f>
        <v>Rogério</v>
      </c>
      <c r="I30" s="4" t="s">
        <v>16</v>
      </c>
      <c r="J30" s="5" t="str">
        <f>Transferencia!L30</f>
        <v>236.078.878-70</v>
      </c>
      <c r="K30" s="5" t="str">
        <f>Transferencia!M30</f>
        <v>30.990.328/0001-63</v>
      </c>
      <c r="L30" s="5" t="s">
        <v>40</v>
      </c>
    </row>
    <row r="31" spans="1:12" ht="15.75" customHeight="1">
      <c r="A31" s="5" t="str">
        <f>Transferencia!A31</f>
        <v>23000842</v>
      </c>
      <c r="B31" s="5" t="str">
        <f>Transferencia!B31</f>
        <v>04/02/2025</v>
      </c>
      <c r="C31" s="5" t="str">
        <f>Transferencia!C31</f>
        <v>PAULO HENRIQUE DOMINGUES SARAIVA</v>
      </c>
      <c r="D31" s="5" t="str">
        <f>Transferencia!D31</f>
        <v>controladoria@accmg.com.br</v>
      </c>
      <c r="E31" s="5" t="str">
        <f>Transferencia!G31</f>
        <v>5531991731289</v>
      </c>
      <c r="F31" s="5" t="str">
        <f>Transferencia!H31</f>
        <v xml:space="preserve">e-CNPJ A1 - 1 ano </v>
      </c>
      <c r="G31" s="6" t="str">
        <f>Transferencia!J31</f>
        <v>Ponto de Atendimento AR Certifast - Prado BH/MG</v>
      </c>
      <c r="H31" s="4" t="str">
        <f>VLOOKUP(G31,Página1!G:L,6,0)</f>
        <v>Isabella</v>
      </c>
      <c r="I31" s="4" t="s">
        <v>16</v>
      </c>
      <c r="J31" s="5" t="str">
        <f>Transferencia!L31</f>
        <v>048.132.836-08</v>
      </c>
      <c r="K31" s="5" t="str">
        <f>Transferencia!M31</f>
        <v>08.000.185/0001-46</v>
      </c>
      <c r="L31" s="5" t="s">
        <v>41</v>
      </c>
    </row>
    <row r="32" spans="1:12" ht="15.75" customHeight="1">
      <c r="A32" s="5" t="str">
        <f>Transferencia!A32</f>
        <v>23003039</v>
      </c>
      <c r="B32" s="5" t="str">
        <f>Transferencia!B32</f>
        <v>04/02/2025</v>
      </c>
      <c r="C32" s="5" t="str">
        <f>Transferencia!C32</f>
        <v>ROSIMEIRA IRMA DO NASCIMENTO MARTAURO</v>
      </c>
      <c r="D32" s="5" t="str">
        <f>Transferencia!D32</f>
        <v>coord.societario@reluzcontabil.com.br</v>
      </c>
      <c r="E32" s="5" t="str">
        <f>Transferencia!G32</f>
        <v>5511982234577</v>
      </c>
      <c r="F32" s="5" t="str">
        <f>Transferencia!H32</f>
        <v xml:space="preserve">e-CNPJ A1 - PME </v>
      </c>
      <c r="G32" s="6" t="str">
        <f>Transferencia!J32</f>
        <v>Ponto de Atendimento AR Certifast - Maua Centro/SP</v>
      </c>
      <c r="H32" s="4" t="str">
        <f>VLOOKUP(G32,Página1!G:L,6,0)</f>
        <v>Ingrid</v>
      </c>
      <c r="I32" s="4" t="s">
        <v>16</v>
      </c>
      <c r="J32" s="5" t="str">
        <f>Transferencia!L32</f>
        <v>178.482.678-22</v>
      </c>
      <c r="K32" s="5" t="str">
        <f>Transferencia!M32</f>
        <v>34.551.599/0001-73</v>
      </c>
      <c r="L32" s="5" t="s">
        <v>43</v>
      </c>
    </row>
    <row r="33" spans="1:12" ht="15.75" customHeight="1">
      <c r="A33" s="5" t="str">
        <f>Transferencia!A33</f>
        <v>23009603</v>
      </c>
      <c r="B33" s="5" t="str">
        <f>Transferencia!B33</f>
        <v>04/02/2025</v>
      </c>
      <c r="C33" s="5" t="str">
        <f>Transferencia!C33</f>
        <v>MARIA CRISTINA SIMOES SILVERIO</v>
      </c>
      <c r="D33" s="5" t="str">
        <f>Transferencia!D33</f>
        <v>contabilidade@afccontabilsjc.com.br</v>
      </c>
      <c r="E33" s="5" t="str">
        <f>Transferencia!G33</f>
        <v>5512988301250</v>
      </c>
      <c r="F33" s="5" t="str">
        <f>Transferencia!H33</f>
        <v xml:space="preserve">e-CNPJ A1 - PME </v>
      </c>
      <c r="G33" s="6" t="str">
        <f>Transferencia!J33</f>
        <v>PONTO DE ATENDIMENTO AR CERTIFAST - ANDROMEDA/SP</v>
      </c>
      <c r="H33" s="4" t="str">
        <f>VLOOKUP(G33,Página1!G:L,6,0)</f>
        <v>Rogério</v>
      </c>
      <c r="I33" s="4" t="s">
        <v>16</v>
      </c>
      <c r="J33" s="5" t="str">
        <f>Transferencia!L33</f>
        <v>479.570.696-49</v>
      </c>
      <c r="K33" s="5" t="str">
        <f>Transferencia!M33</f>
        <v>22.690.586/0001-04</v>
      </c>
      <c r="L33" s="5" t="s">
        <v>44</v>
      </c>
    </row>
    <row r="34" spans="1:12" ht="15.75" customHeight="1">
      <c r="A34" s="5" t="str">
        <f>Transferencia!A34</f>
        <v>23015299</v>
      </c>
      <c r="B34" s="5" t="str">
        <f>Transferencia!B34</f>
        <v>04/02/2025</v>
      </c>
      <c r="C34" s="5" t="str">
        <f>Transferencia!C34</f>
        <v>NAGIBA EL JALIS</v>
      </c>
      <c r="D34" s="5" t="str">
        <f>Transferencia!D34</f>
        <v>contabilidade@afccontabilsjc.com.br</v>
      </c>
      <c r="E34" s="5" t="str">
        <f>Transferencia!G34</f>
        <v>5512991209254</v>
      </c>
      <c r="F34" s="5" t="str">
        <f>Transferencia!H34</f>
        <v xml:space="preserve">e-CNPJ A1 - PME </v>
      </c>
      <c r="G34" s="6" t="str">
        <f>Transferencia!J34</f>
        <v>PONTO DE ATENDIMENTO AR CERTIFAST - ANDROMEDA/SP</v>
      </c>
      <c r="H34" s="4" t="str">
        <f>VLOOKUP(G34,Página1!G:L,6,0)</f>
        <v>Rogério</v>
      </c>
      <c r="I34" s="4" t="s">
        <v>16</v>
      </c>
      <c r="J34" s="5" t="str">
        <f>Transferencia!L34</f>
        <v>624.789.158-04</v>
      </c>
      <c r="K34" s="5" t="str">
        <f>Transferencia!M34</f>
        <v>60.074.234/0001-05</v>
      </c>
      <c r="L34" s="5" t="s">
        <v>45</v>
      </c>
    </row>
    <row r="35" spans="1:12" ht="15.75" customHeight="1">
      <c r="A35" s="5" t="str">
        <f>Transferencia!A35</f>
        <v>23021471</v>
      </c>
      <c r="B35" s="5" t="str">
        <f>Transferencia!B35</f>
        <v>04/02/2025</v>
      </c>
      <c r="C35" s="5" t="str">
        <f>Transferencia!C35</f>
        <v>GUILHERME DE CARVALHO LOURES</v>
      </c>
      <c r="D35" s="5" t="str">
        <f>Transferencia!D35</f>
        <v>coord.societario@reluzcontabil.com.br</v>
      </c>
      <c r="E35" s="5" t="str">
        <f>Transferencia!G35</f>
        <v>5511952377440</v>
      </c>
      <c r="F35" s="5" t="str">
        <f>Transferencia!H35</f>
        <v xml:space="preserve">e-CNPJ A1 - PME </v>
      </c>
      <c r="G35" s="6" t="str">
        <f>Transferencia!J35</f>
        <v>Ponto de Atendimento AR Certifast - Maua Centro/SP</v>
      </c>
      <c r="H35" s="4" t="str">
        <f>VLOOKUP(G35,Página1!G:L,6,0)</f>
        <v>Ingrid</v>
      </c>
      <c r="I35" s="4" t="s">
        <v>16</v>
      </c>
      <c r="J35" s="5" t="str">
        <f>Transferencia!L35</f>
        <v>480.085.028-27</v>
      </c>
      <c r="K35" s="5" t="str">
        <f>Transferencia!M35</f>
        <v>53.704.787/0001-39</v>
      </c>
      <c r="L35" s="5" t="s">
        <v>46</v>
      </c>
    </row>
    <row r="36" spans="1:12" ht="15.75" customHeight="1">
      <c r="A36" s="5" t="str">
        <f>Transferencia!A36</f>
        <v>23023341</v>
      </c>
      <c r="B36" s="5" t="str">
        <f>Transferencia!B36</f>
        <v>04/02/2025</v>
      </c>
      <c r="C36" s="5" t="str">
        <f>Transferencia!C36</f>
        <v>VINICIUS GOMES DA SILVA</v>
      </c>
      <c r="D36" s="5" t="str">
        <f>Transferencia!D36</f>
        <v>distribuidorajrmix@gmail.com</v>
      </c>
      <c r="E36" s="5" t="str">
        <f>Transferencia!G36</f>
        <v>5511946601631</v>
      </c>
      <c r="F36" s="5" t="str">
        <f>Transferencia!H36</f>
        <v xml:space="preserve">e-CNPJ A1 - PME </v>
      </c>
      <c r="G36" s="6" t="str">
        <f>Transferencia!J36</f>
        <v>PONTO DE ATENDIMENTO AR CERTIFAST - ANDROMEDA/SP</v>
      </c>
      <c r="H36" s="4" t="str">
        <f>VLOOKUP(G36,Página1!G:L,6,0)</f>
        <v>Rogério</v>
      </c>
      <c r="I36" s="4" t="s">
        <v>16</v>
      </c>
      <c r="J36" s="5" t="str">
        <f>Transferencia!L36</f>
        <v>100.928.914-46</v>
      </c>
      <c r="K36" s="5" t="str">
        <f>Transferencia!M36</f>
        <v>53.742.281/0001-14</v>
      </c>
      <c r="L36" s="5"/>
    </row>
    <row r="37" spans="1:12" ht="15.75" customHeight="1">
      <c r="A37" s="5" t="str">
        <f>Transferencia!A37</f>
        <v>23025989</v>
      </c>
      <c r="B37" s="5" t="str">
        <f>Transferencia!B37</f>
        <v>04/02/2025</v>
      </c>
      <c r="C37" s="5" t="str">
        <f>Transferencia!C37</f>
        <v>WESLEY VINICIUS ROSA MARTINS</v>
      </c>
      <c r="D37" s="5" t="str">
        <f>Transferencia!D37</f>
        <v>wesley@hortifrutiemporiominas.com.br</v>
      </c>
      <c r="E37" s="5" t="str">
        <f>Transferencia!G37</f>
        <v>5531984857204</v>
      </c>
      <c r="F37" s="5" t="str">
        <f>Transferencia!H37</f>
        <v xml:space="preserve">e-CNPJ A1 - PME </v>
      </c>
      <c r="G37" s="6" t="str">
        <f>Transferencia!J37</f>
        <v>Ponto de Atendimento AR Certifast - Prado BH/MG</v>
      </c>
      <c r="H37" s="4" t="str">
        <f>VLOOKUP(G37,Página1!G:L,6,0)</f>
        <v>Isabella</v>
      </c>
      <c r="I37" s="4" t="s">
        <v>16</v>
      </c>
      <c r="J37" s="5" t="str">
        <f>Transferencia!L37</f>
        <v>086.888.796-05</v>
      </c>
      <c r="K37" s="5" t="str">
        <f>Transferencia!M37</f>
        <v>35.684.358/0001-65</v>
      </c>
      <c r="L37" s="5" t="s">
        <v>47</v>
      </c>
    </row>
    <row r="38" spans="1:12" ht="15.75" customHeight="1">
      <c r="A38" s="5" t="str">
        <f>Transferencia!A38</f>
        <v>23027405</v>
      </c>
      <c r="B38" s="5" t="str">
        <f>Transferencia!B38</f>
        <v>04/02/2025</v>
      </c>
      <c r="C38" s="5" t="str">
        <f>Transferencia!C38</f>
        <v>FERNANDO DE MOURA GOMES</v>
      </c>
      <c r="D38" s="5" t="str">
        <f>Transferencia!D38</f>
        <v>leandropradoilha@gmail.com</v>
      </c>
      <c r="E38" s="5" t="str">
        <f>Transferencia!G38</f>
        <v>5512997760065</v>
      </c>
      <c r="F38" s="5" t="str">
        <f>Transferencia!H38</f>
        <v xml:space="preserve">e-CNPJ A1 - PME </v>
      </c>
      <c r="G38" s="6" t="str">
        <f>Transferencia!J38</f>
        <v>PONTO DE ATENDIMENTO AR CERTIFAST - ANDROMEDA/SP</v>
      </c>
      <c r="H38" s="4" t="str">
        <f>VLOOKUP(G38,Página1!G:L,6,0)</f>
        <v>Rogério</v>
      </c>
      <c r="I38" s="4" t="s">
        <v>16</v>
      </c>
      <c r="J38" s="5" t="str">
        <f>Transferencia!L38</f>
        <v>267.961.728-25</v>
      </c>
      <c r="K38" s="5" t="str">
        <f>Transferencia!M38</f>
        <v>43.602.169/0001-24</v>
      </c>
      <c r="L38" s="5" t="s">
        <v>48</v>
      </c>
    </row>
    <row r="39" spans="1:12" ht="15.75" customHeight="1">
      <c r="A39" s="5" t="str">
        <f>Transferencia!A39</f>
        <v>23030393</v>
      </c>
      <c r="B39" s="5" t="str">
        <f>Transferencia!B39</f>
        <v>04/02/2025</v>
      </c>
      <c r="C39" s="5" t="str">
        <f>Transferencia!C39</f>
        <v>ANA LUIZA GUIMARAES DUARTE</v>
      </c>
      <c r="D39" s="5" t="str">
        <f>Transferencia!D39</f>
        <v>distribuidoraachou@gmail.com</v>
      </c>
      <c r="E39" s="5" t="str">
        <f>Transferencia!G39</f>
        <v>5531988366384</v>
      </c>
      <c r="F39" s="5" t="str">
        <f>Transferencia!H39</f>
        <v xml:space="preserve">e-CNPJ A1 - PME </v>
      </c>
      <c r="G39" s="6" t="str">
        <f>Transferencia!J39</f>
        <v>Ponto de Atendimento AR Certifast - Prado BH/MG</v>
      </c>
      <c r="H39" s="4" t="str">
        <f>VLOOKUP(G39,Página1!G:L,6,0)</f>
        <v>Isabella</v>
      </c>
      <c r="I39" s="4" t="s">
        <v>16</v>
      </c>
      <c r="J39" s="5" t="str">
        <f>Transferencia!L39</f>
        <v>139.406.646-50</v>
      </c>
      <c r="K39" s="5" t="str">
        <f>Transferencia!M39</f>
        <v>40.488.107/0001-45</v>
      </c>
      <c r="L39" s="5" t="s">
        <v>49</v>
      </c>
    </row>
    <row r="40" spans="1:12" ht="15.75" customHeight="1">
      <c r="A40" s="5" t="str">
        <f>Transferencia!A40</f>
        <v>23031428</v>
      </c>
      <c r="B40" s="5" t="str">
        <f>Transferencia!B40</f>
        <v>04/02/2025</v>
      </c>
      <c r="C40" s="5" t="str">
        <f>Transferencia!C40</f>
        <v>JOSE CARLOS DE OLIVEIRA MONTEIRO</v>
      </c>
      <c r="D40" s="5" t="str">
        <f>Transferencia!D40</f>
        <v>arteemvidrosvdrr@gmail.com</v>
      </c>
      <c r="E40" s="5" t="str">
        <f>Transferencia!G40</f>
        <v>5512991279045</v>
      </c>
      <c r="F40" s="5" t="str">
        <f>Transferencia!H40</f>
        <v xml:space="preserve">e-CNPJ A1 - PME </v>
      </c>
      <c r="G40" s="6" t="str">
        <f>Transferencia!J40</f>
        <v>PONTO DE ATENDIMENTO AR CERTIFAST - ANDROMEDA/SP</v>
      </c>
      <c r="H40" s="4" t="str">
        <f>VLOOKUP(G40,Página1!G:L,6,0)</f>
        <v>Rogério</v>
      </c>
      <c r="I40" s="4" t="s">
        <v>16</v>
      </c>
      <c r="J40" s="5" t="str">
        <f>Transferencia!L40</f>
        <v>032.724.478-06</v>
      </c>
      <c r="K40" s="5" t="str">
        <f>Transferencia!M40</f>
        <v>06.998.055/0001-19</v>
      </c>
      <c r="L40" s="5" t="s">
        <v>50</v>
      </c>
    </row>
    <row r="41" spans="1:12" ht="15.75" customHeight="1">
      <c r="A41" s="5" t="str">
        <f>Transferencia!A41</f>
        <v>23031939</v>
      </c>
      <c r="B41" s="5" t="str">
        <f>Transferencia!B41</f>
        <v>04/02/2025</v>
      </c>
      <c r="C41" s="5" t="str">
        <f>Transferencia!C41</f>
        <v>EMERSON ALVES RIBEIRO</v>
      </c>
      <c r="D41" s="5" t="str">
        <f>Transferencia!D41</f>
        <v>coord.societario@reluzcontabil.com.br</v>
      </c>
      <c r="E41" s="5" t="str">
        <f>Transferencia!G41</f>
        <v>5511997706778</v>
      </c>
      <c r="F41" s="5" t="str">
        <f>Transferencia!H41</f>
        <v xml:space="preserve">e-CNPJ A1 - PME </v>
      </c>
      <c r="G41" s="6" t="str">
        <f>Transferencia!J41</f>
        <v>Ponto de Atendimento AR Certifast - Maua Centro/SP</v>
      </c>
      <c r="H41" s="4" t="str">
        <f>VLOOKUP(G41,Página1!G:L,6,0)</f>
        <v>Ingrid</v>
      </c>
      <c r="I41" s="4" t="s">
        <v>16</v>
      </c>
      <c r="J41" s="5" t="str">
        <f>Transferencia!L41</f>
        <v>787.894.515-20</v>
      </c>
      <c r="K41" s="5" t="str">
        <f>Transferencia!M41</f>
        <v>10.762.665/0001-96</v>
      </c>
      <c r="L41" s="5"/>
    </row>
    <row r="42" spans="1:12" ht="15.75" customHeight="1">
      <c r="A42" s="5" t="str">
        <f>Transferencia!A42</f>
        <v>23034356</v>
      </c>
      <c r="B42" s="5" t="str">
        <f>Transferencia!B42</f>
        <v>04/02/2025</v>
      </c>
      <c r="C42" s="5" t="str">
        <f>Transferencia!C42</f>
        <v>DJALMA AFONSO VIEIRA</v>
      </c>
      <c r="D42" s="5" t="str">
        <f>Transferencia!D42</f>
        <v>bless.assessoria@gmail.com</v>
      </c>
      <c r="E42" s="5" t="str">
        <f>Transferencia!G42</f>
        <v>55</v>
      </c>
      <c r="F42" s="5" t="str">
        <f>Transferencia!H42</f>
        <v xml:space="preserve">e-CNPJ A1 - PME </v>
      </c>
      <c r="G42" s="6" t="str">
        <f>Transferencia!J42</f>
        <v>Ponto de Atendimento AR Certifast - Maua Centro/SP</v>
      </c>
      <c r="H42" s="4" t="str">
        <f>VLOOKUP(G42,Página1!G:L,6,0)</f>
        <v>Ingrid</v>
      </c>
      <c r="I42" s="4" t="s">
        <v>16</v>
      </c>
      <c r="J42" s="5" t="str">
        <f>Transferencia!L42</f>
        <v>097.224.538-31</v>
      </c>
      <c r="K42" s="5" t="str">
        <f>Transferencia!M42</f>
        <v>49.422.269/0001-55</v>
      </c>
      <c r="L42" s="5" t="s">
        <v>52</v>
      </c>
    </row>
    <row r="43" spans="1:12" ht="15.75" customHeight="1">
      <c r="A43" s="5" t="str">
        <f>Transferencia!A43</f>
        <v>23035338</v>
      </c>
      <c r="B43" s="5" t="str">
        <f>Transferencia!B43</f>
        <v>04/02/2025</v>
      </c>
      <c r="C43" s="5" t="str">
        <f>Transferencia!C43</f>
        <v>CLAUDIA PARIZ GALHARDO SALGADO TEIXEIRA</v>
      </c>
      <c r="D43" s="5" t="str">
        <f>Transferencia!D43</f>
        <v>gizafinancas@hotmail.com</v>
      </c>
      <c r="E43" s="5" t="str">
        <f>Transferencia!G43</f>
        <v>5512981647000</v>
      </c>
      <c r="F43" s="5" t="str">
        <f>Transferencia!H43</f>
        <v xml:space="preserve">e-CNPJ A1 - PME </v>
      </c>
      <c r="G43" s="6" t="str">
        <f>Transferencia!J43</f>
        <v>PONTO DE ATENDIMENTO AR CERTIFAST - ANDROMEDA/SP</v>
      </c>
      <c r="H43" s="4" t="str">
        <f>VLOOKUP(G43,Página1!G:L,6,0)</f>
        <v>Rogério</v>
      </c>
      <c r="I43" s="4" t="s">
        <v>16</v>
      </c>
      <c r="J43" s="5" t="str">
        <f>Transferencia!L43</f>
        <v>138.505.588-00</v>
      </c>
      <c r="K43" s="5" t="str">
        <f>Transferencia!M43</f>
        <v>09.592.407/0001-20</v>
      </c>
      <c r="L43" s="5" t="s">
        <v>53</v>
      </c>
    </row>
    <row r="44" spans="1:12" ht="15.75" customHeight="1">
      <c r="A44" s="5" t="str">
        <f>Transferencia!A44</f>
        <v>23037305</v>
      </c>
      <c r="B44" s="5" t="str">
        <f>Transferencia!B44</f>
        <v>04/02/2025</v>
      </c>
      <c r="C44" s="5" t="str">
        <f>Transferencia!C44</f>
        <v>ELIEL CERQUEIRA DE ARAUJO</v>
      </c>
      <c r="D44" s="5" t="str">
        <f>Transferencia!D44</f>
        <v>natarten@gmail.com</v>
      </c>
      <c r="E44" s="5" t="str">
        <f>Transferencia!G44</f>
        <v>5512991611677</v>
      </c>
      <c r="F44" s="5" t="str">
        <f>Transferencia!H44</f>
        <v xml:space="preserve">e-CNPJ A1 - PME </v>
      </c>
      <c r="G44" s="6" t="str">
        <f>Transferencia!J44</f>
        <v>PONTO DE ATENDIMENTO AR CERTIFAST - ANDROMEDA/SP</v>
      </c>
      <c r="H44" s="4" t="str">
        <f>VLOOKUP(G44,Página1!G:L,6,0)</f>
        <v>Rogério</v>
      </c>
      <c r="I44" s="4" t="s">
        <v>16</v>
      </c>
      <c r="J44" s="5" t="str">
        <f>Transferencia!L44</f>
        <v>865.433.772-91</v>
      </c>
      <c r="K44" s="5" t="str">
        <f>Transferencia!M44</f>
        <v>26.853.599/0001-08</v>
      </c>
      <c r="L44" s="5" t="s">
        <v>55</v>
      </c>
    </row>
    <row r="45" spans="1:12" ht="15.75" customHeight="1">
      <c r="A45" s="5" t="str">
        <f>Transferencia!A45</f>
        <v>23037761</v>
      </c>
      <c r="B45" s="5" t="str">
        <f>Transferencia!B45</f>
        <v>04/02/2025</v>
      </c>
      <c r="C45" s="5" t="str">
        <f>Transferencia!C45</f>
        <v>LUCIANO HENRIQUE PARSANESE</v>
      </c>
      <c r="D45" s="5" t="str">
        <f>Transferencia!D45</f>
        <v>mrexpress019@gmail.com</v>
      </c>
      <c r="E45" s="5" t="str">
        <f>Transferencia!G45</f>
        <v>5512981637825</v>
      </c>
      <c r="F45" s="5" t="str">
        <f>Transferencia!H45</f>
        <v xml:space="preserve">e-CNPJ A1 - 1 ano </v>
      </c>
      <c r="G45" s="6" t="str">
        <f>Transferencia!J45</f>
        <v>PONTO DE ATENDIMENTO AR CERTIFAST - ANDROMEDA/SP</v>
      </c>
      <c r="H45" s="4" t="str">
        <f>VLOOKUP(G45,Página1!G:L,6,0)</f>
        <v>Rogério</v>
      </c>
      <c r="I45" s="4" t="s">
        <v>16</v>
      </c>
      <c r="J45" s="5" t="str">
        <f>Transferencia!L45</f>
        <v>287.324.578-63</v>
      </c>
      <c r="K45" s="5" t="str">
        <f>Transferencia!M45</f>
        <v>33.734.170/0001-59</v>
      </c>
      <c r="L45" s="5" t="s">
        <v>56</v>
      </c>
    </row>
    <row r="46" spans="1:12" ht="15.75" customHeight="1">
      <c r="A46" s="5" t="str">
        <f>Transferencia!A46</f>
        <v>22328236</v>
      </c>
      <c r="B46" s="5" t="str">
        <f>Transferencia!B46</f>
        <v>05/02/2025</v>
      </c>
      <c r="C46" s="5" t="str">
        <f>Transferencia!C46</f>
        <v>AILTON ZACCARI</v>
      </c>
      <c r="D46" s="5" t="str">
        <f>Transferencia!D46</f>
        <v>contabilcaroto@gmail.com</v>
      </c>
      <c r="E46" s="5" t="str">
        <f>Transferencia!G46</f>
        <v>55</v>
      </c>
      <c r="F46" s="5" t="str">
        <f>Transferencia!H46</f>
        <v xml:space="preserve">e-CNPJ A3 - PME - 18 meses </v>
      </c>
      <c r="G46" s="6" t="str">
        <f>Transferencia!J46</f>
        <v>Ponto de Atendimento AR Certifast - Maua Centro/SP</v>
      </c>
      <c r="H46" s="4" t="str">
        <f>VLOOKUP(G46,Página1!G:L,6,0)</f>
        <v>Ingrid</v>
      </c>
      <c r="I46" s="4" t="s">
        <v>16</v>
      </c>
      <c r="J46" s="5" t="str">
        <f>Transferencia!L46</f>
        <v>056.697.068-62</v>
      </c>
      <c r="K46" s="5" t="str">
        <f>Transferencia!M46</f>
        <v>44.461.157/0001-90</v>
      </c>
      <c r="L46" s="5"/>
    </row>
    <row r="47" spans="1:12" ht="15.75" customHeight="1">
      <c r="A47" s="5" t="str">
        <f>Transferencia!A47</f>
        <v>22353185</v>
      </c>
      <c r="B47" s="5" t="str">
        <f>Transferencia!B47</f>
        <v>05/02/2025</v>
      </c>
      <c r="C47" s="5" t="str">
        <f>Transferencia!C47</f>
        <v>VITOR KANASHIRO ICHIKAWA</v>
      </c>
      <c r="D47" s="5" t="str">
        <f>Transferencia!D47</f>
        <v>contabilcaroto@gmail.com</v>
      </c>
      <c r="E47" s="5" t="str">
        <f>Transferencia!G47</f>
        <v>55</v>
      </c>
      <c r="F47" s="5" t="str">
        <f>Transferencia!H47</f>
        <v xml:space="preserve">e-CNPJ A3 - PME - 18 meses </v>
      </c>
      <c r="G47" s="6" t="str">
        <f>Transferencia!J47</f>
        <v>Ponto de Atendimento AR Certifast - Maua Centro/SP</v>
      </c>
      <c r="H47" s="4" t="str">
        <f>VLOOKUP(G47,Página1!G:L,6,0)</f>
        <v>Ingrid</v>
      </c>
      <c r="I47" s="4" t="s">
        <v>16</v>
      </c>
      <c r="J47" s="5" t="str">
        <f>Transferencia!L47</f>
        <v>232.209.658-06</v>
      </c>
      <c r="K47" s="5" t="str">
        <f>Transferencia!M47</f>
        <v>44.475.543/0001-30</v>
      </c>
      <c r="L47" s="5" t="s">
        <v>57</v>
      </c>
    </row>
    <row r="48" spans="1:12" ht="15.75" customHeight="1">
      <c r="A48" s="5" t="str">
        <f>Transferencia!A48</f>
        <v>22966516</v>
      </c>
      <c r="B48" s="5" t="str">
        <f>Transferencia!B48</f>
        <v>05/02/2025</v>
      </c>
      <c r="C48" s="5" t="str">
        <f>Transferencia!C48</f>
        <v>FABIANO RODRIGUES VALENTIM PEREIRA</v>
      </c>
      <c r="D48" s="5" t="str">
        <f>Transferencia!D48</f>
        <v>fabiano.r.valentim@gmail.com</v>
      </c>
      <c r="E48" s="5" t="str">
        <f>Transferencia!G48</f>
        <v>5531997416615</v>
      </c>
      <c r="F48" s="5" t="str">
        <f>Transferencia!H48</f>
        <v xml:space="preserve">e-CNPJ A1 - PME </v>
      </c>
      <c r="G48" s="6" t="str">
        <f>Transferencia!J48</f>
        <v>Ponto de Atendimento AR Certifast - Prado BH/MG</v>
      </c>
      <c r="H48" s="4" t="str">
        <f>VLOOKUP(G48,Página1!G:L,6,0)</f>
        <v>Isabella</v>
      </c>
      <c r="I48" s="4" t="s">
        <v>16</v>
      </c>
      <c r="J48" s="5" t="str">
        <f>Transferencia!L48</f>
        <v>030.040.276-74</v>
      </c>
      <c r="K48" s="5" t="str">
        <f>Transferencia!M48</f>
        <v>53.547.274/0001-61</v>
      </c>
      <c r="L48" s="5"/>
    </row>
    <row r="49" spans="1:12" ht="15.75" customHeight="1">
      <c r="A49" s="5" t="str">
        <f>Transferencia!A49</f>
        <v>23002368</v>
      </c>
      <c r="B49" s="5" t="str">
        <f>Transferencia!B49</f>
        <v>05/02/2025</v>
      </c>
      <c r="C49" s="5" t="str">
        <f>Transferencia!C49</f>
        <v>VITOR HIGINO DE ALMEIDA JESUS</v>
      </c>
      <c r="D49" s="5" t="str">
        <f>Transferencia!D49</f>
        <v>coord.societario@reluzcontabil.com.br</v>
      </c>
      <c r="E49" s="5" t="str">
        <f>Transferencia!G49</f>
        <v>5511975276258</v>
      </c>
      <c r="F49" s="5" t="str">
        <f>Transferencia!H49</f>
        <v xml:space="preserve">e-CNPJ A1 - PME </v>
      </c>
      <c r="G49" s="6" t="str">
        <f>Transferencia!J49</f>
        <v>Ponto de Atendimento AR Certifast - Maua Centro/SP</v>
      </c>
      <c r="H49" s="4" t="str">
        <f>VLOOKUP(G49,Página1!G:L,6,0)</f>
        <v>Ingrid</v>
      </c>
      <c r="I49" s="4" t="s">
        <v>16</v>
      </c>
      <c r="J49" s="5" t="str">
        <f>Transferencia!L49</f>
        <v>406.444.378-04</v>
      </c>
      <c r="K49" s="5" t="str">
        <f>Transferencia!M49</f>
        <v>24.236.466/0001-59</v>
      </c>
      <c r="L49" s="5" t="s">
        <v>58</v>
      </c>
    </row>
    <row r="50" spans="1:12" ht="15.75" customHeight="1">
      <c r="A50" s="5" t="str">
        <f>Transferencia!A50</f>
        <v>23009727</v>
      </c>
      <c r="B50" s="5" t="str">
        <f>Transferencia!B50</f>
        <v>05/02/2025</v>
      </c>
      <c r="C50" s="5" t="str">
        <f>Transferencia!C50</f>
        <v>WANDERSON DA SILVA</v>
      </c>
      <c r="D50" s="5" t="str">
        <f>Transferencia!D50</f>
        <v>patriciareismartins@hotmail.com</v>
      </c>
      <c r="E50" s="5" t="str">
        <f>Transferencia!G50</f>
        <v>5512991263792</v>
      </c>
      <c r="F50" s="5" t="str">
        <f>Transferencia!H50</f>
        <v xml:space="preserve">e-CNPJ A1 - PME </v>
      </c>
      <c r="G50" s="6" t="str">
        <f>Transferencia!J50</f>
        <v>PONTO DE ATENDIMENTO AR CERTIFAST - ANDROMEDA/SP</v>
      </c>
      <c r="H50" s="4" t="str">
        <f>VLOOKUP(G50,Página1!G:L,6,0)</f>
        <v>Rogério</v>
      </c>
      <c r="I50" s="4" t="s">
        <v>16</v>
      </c>
      <c r="J50" s="5" t="str">
        <f>Transferencia!L50</f>
        <v>220.783.858-75</v>
      </c>
      <c r="K50" s="5" t="str">
        <f>Transferencia!M50</f>
        <v>15.373.682/0001-55</v>
      </c>
      <c r="L50" s="5" t="s">
        <v>59</v>
      </c>
    </row>
    <row r="51" spans="1:12" ht="15.75" customHeight="1">
      <c r="A51" s="5" t="str">
        <f>Transferencia!A51</f>
        <v>23018479</v>
      </c>
      <c r="B51" s="5" t="str">
        <f>Transferencia!B51</f>
        <v>05/02/2025</v>
      </c>
      <c r="C51" s="5" t="str">
        <f>Transferencia!C51</f>
        <v>ALEFF TAVARES GOMES</v>
      </c>
      <c r="D51" s="5" t="str">
        <f>Transferencia!D51</f>
        <v>ricardo@rkcontabilidade.com.br</v>
      </c>
      <c r="E51" s="5" t="str">
        <f>Transferencia!G51</f>
        <v>5511952086503</v>
      </c>
      <c r="F51" s="5" t="str">
        <f>Transferencia!H51</f>
        <v xml:space="preserve">e-CNPJ A1 - PME </v>
      </c>
      <c r="G51" s="6" t="str">
        <f>Transferencia!J51</f>
        <v>Ponto de Atendimento AR Certifast - Maua Centro/SP</v>
      </c>
      <c r="H51" s="4" t="str">
        <f>VLOOKUP(G51,Página1!G:L,6,0)</f>
        <v>Ingrid</v>
      </c>
      <c r="I51" s="4" t="s">
        <v>16</v>
      </c>
      <c r="J51" s="5" t="str">
        <f>Transferencia!L51</f>
        <v>468.346.248-64</v>
      </c>
      <c r="K51" s="5" t="str">
        <f>Transferencia!M51</f>
        <v>53.110.206/0001-30</v>
      </c>
      <c r="L51" s="5" t="s">
        <v>60</v>
      </c>
    </row>
    <row r="52" spans="1:12" ht="15.75" customHeight="1">
      <c r="A52" s="5" t="str">
        <f>Transferencia!A52</f>
        <v>23021161</v>
      </c>
      <c r="B52" s="5" t="str">
        <f>Transferencia!B52</f>
        <v>05/02/2025</v>
      </c>
      <c r="C52" s="5" t="str">
        <f>Transferencia!C52</f>
        <v>MARIA SUELI PINHEIRO ALVES DA SILVA</v>
      </c>
      <c r="D52" s="5" t="str">
        <f>Transferencia!D52</f>
        <v>jh.contabilidade@hotmail.com</v>
      </c>
      <c r="E52" s="5" t="str">
        <f>Transferencia!G52</f>
        <v>5511965274123</v>
      </c>
      <c r="F52" s="5" t="str">
        <f>Transferencia!H52</f>
        <v xml:space="preserve">e-CNPJ A1 - PME </v>
      </c>
      <c r="G52" s="6" t="str">
        <f>Transferencia!J52</f>
        <v>PONTO DE ATENDIMENTO AR CERTIFAST - ANDROMEDA/SP</v>
      </c>
      <c r="H52" s="4" t="str">
        <f>VLOOKUP(G52,Página1!G:L,6,0)</f>
        <v>Rogério</v>
      </c>
      <c r="I52" s="4" t="s">
        <v>16</v>
      </c>
      <c r="J52" s="5" t="str">
        <f>Transferencia!L52</f>
        <v>277.945.158-07</v>
      </c>
      <c r="K52" s="5" t="str">
        <f>Transferencia!M52</f>
        <v>19.300.571/0001-70</v>
      </c>
      <c r="L52" s="5" t="s">
        <v>61</v>
      </c>
    </row>
    <row r="53" spans="1:12" ht="15.75" customHeight="1">
      <c r="A53" s="5" t="str">
        <f>Transferencia!A53</f>
        <v>23022329</v>
      </c>
      <c r="B53" s="5" t="str">
        <f>Transferencia!B53</f>
        <v>05/02/2025</v>
      </c>
      <c r="C53" s="5" t="str">
        <f>Transferencia!C53</f>
        <v>CESAR AUGUSTO SILVA DOS SANTOS</v>
      </c>
      <c r="D53" s="5" t="str">
        <f>Transferencia!D53</f>
        <v>coord.societario@reluzcontabil.com.br</v>
      </c>
      <c r="E53" s="5" t="str">
        <f>Transferencia!G53</f>
        <v>5511954634181</v>
      </c>
      <c r="F53" s="5" t="str">
        <f>Transferencia!H53</f>
        <v xml:space="preserve">e-CNPJ A1 - PME </v>
      </c>
      <c r="G53" s="6" t="str">
        <f>Transferencia!J53</f>
        <v>Ponto de Atendimento AR Certifast - Maua Centro/SP</v>
      </c>
      <c r="H53" s="4" t="str">
        <f>VLOOKUP(G53,Página1!G:L,6,0)</f>
        <v>Ingrid</v>
      </c>
      <c r="I53" s="4" t="s">
        <v>16</v>
      </c>
      <c r="J53" s="5" t="str">
        <f>Transferencia!L53</f>
        <v>453.172.288-40</v>
      </c>
      <c r="K53" s="5" t="str">
        <f>Transferencia!M53</f>
        <v>52.627.570/0001-00</v>
      </c>
      <c r="L53" s="5" t="s">
        <v>62</v>
      </c>
    </row>
    <row r="54" spans="1:12" ht="15.75" customHeight="1">
      <c r="A54" s="5" t="str">
        <f>Transferencia!A54</f>
        <v>23026324</v>
      </c>
      <c r="B54" s="5" t="str">
        <f>Transferencia!B54</f>
        <v>05/02/2025</v>
      </c>
      <c r="C54" s="5" t="str">
        <f>Transferencia!C54</f>
        <v>GISELE DE CASTRO RAMOS</v>
      </c>
      <c r="D54" s="5" t="str">
        <f>Transferencia!D54</f>
        <v>coord.societario@reluzcontabil.com.br</v>
      </c>
      <c r="E54" s="5" t="str">
        <f>Transferencia!G54</f>
        <v>5513996059400</v>
      </c>
      <c r="F54" s="5" t="str">
        <f>Transferencia!H54</f>
        <v xml:space="preserve">e-CNPJ A1 - PME </v>
      </c>
      <c r="G54" s="6" t="str">
        <f>Transferencia!J54</f>
        <v>Ponto de Atendimento AR Certifast - Maua Centro/SP</v>
      </c>
      <c r="H54" s="4" t="str">
        <f>VLOOKUP(G54,Página1!G:L,6,0)</f>
        <v>Ingrid</v>
      </c>
      <c r="I54" s="4" t="s">
        <v>16</v>
      </c>
      <c r="J54" s="5" t="str">
        <f>Transferencia!L54</f>
        <v>289.335.658-33</v>
      </c>
      <c r="K54" s="5" t="str">
        <f>Transferencia!M54</f>
        <v>26.848.429/0001-27</v>
      </c>
      <c r="L54" s="5" t="s">
        <v>63</v>
      </c>
    </row>
    <row r="55" spans="1:12" ht="15.75" customHeight="1">
      <c r="A55" s="5" t="str">
        <f>Transferencia!A55</f>
        <v>23026371</v>
      </c>
      <c r="B55" s="5" t="str">
        <f>Transferencia!B55</f>
        <v>05/02/2025</v>
      </c>
      <c r="C55" s="5" t="str">
        <f>Transferencia!C55</f>
        <v>FABRICIO DIAS PAES</v>
      </c>
      <c r="D55" s="5" t="str">
        <f>Transferencia!D55</f>
        <v>fabriciodpaes@hotmail.com</v>
      </c>
      <c r="E55" s="5" t="str">
        <f>Transferencia!G55</f>
        <v>5512981821414</v>
      </c>
      <c r="F55" s="5" t="str">
        <f>Transferencia!H55</f>
        <v xml:space="preserve">e-CPF A1 - 1 ano </v>
      </c>
      <c r="G55" s="6" t="str">
        <f>Transferencia!J55</f>
        <v>PONTO DE ATENDIMENTO AR CERTIFAST - ANDROMEDA/SP</v>
      </c>
      <c r="H55" s="4" t="str">
        <f>VLOOKUP(G55,Página1!G:L,6,0)</f>
        <v>Rogério</v>
      </c>
      <c r="I55" s="4" t="s">
        <v>16</v>
      </c>
      <c r="J55" s="5" t="str">
        <f>Transferencia!L55</f>
        <v>332.245.258-19</v>
      </c>
      <c r="K55" s="5" t="str">
        <f>Transferencia!M55</f>
        <v/>
      </c>
      <c r="L55" s="5" t="s">
        <v>64</v>
      </c>
    </row>
    <row r="56" spans="1:12" ht="15.75" customHeight="1">
      <c r="A56" s="5" t="str">
        <f>Transferencia!A56</f>
        <v>23027467</v>
      </c>
      <c r="B56" s="5" t="str">
        <f>Transferencia!B56</f>
        <v>05/02/2025</v>
      </c>
      <c r="C56" s="5" t="str">
        <f>Transferencia!C56</f>
        <v>LUISE HELENE FURLAN BUENO</v>
      </c>
      <c r="D56" s="5" t="str">
        <f>Transferencia!D56</f>
        <v>coord.societario@reluzcontabil.com.br</v>
      </c>
      <c r="E56" s="5" t="str">
        <f>Transferencia!G56</f>
        <v>5511940301101</v>
      </c>
      <c r="F56" s="5" t="str">
        <f>Transferencia!H56</f>
        <v xml:space="preserve">e-CNPJ A1 - PME </v>
      </c>
      <c r="G56" s="6" t="str">
        <f>Transferencia!J56</f>
        <v>Ponto de Atendimento AR Certifast - Maua Centro/SP</v>
      </c>
      <c r="H56" s="4" t="str">
        <f>VLOOKUP(G56,Página1!G:L,6,0)</f>
        <v>Ingrid</v>
      </c>
      <c r="I56" s="4" t="s">
        <v>16</v>
      </c>
      <c r="J56" s="5" t="str">
        <f>Transferencia!L56</f>
        <v>145.296.328-22</v>
      </c>
      <c r="K56" s="5" t="str">
        <f>Transferencia!M56</f>
        <v>17.567.823/0001-04</v>
      </c>
      <c r="L56" s="5" t="s">
        <v>65</v>
      </c>
    </row>
    <row r="57" spans="1:12" ht="15.75" customHeight="1">
      <c r="A57" s="5" t="str">
        <f>Transferencia!A57</f>
        <v>23027590</v>
      </c>
      <c r="B57" s="5" t="str">
        <f>Transferencia!B57</f>
        <v>05/02/2025</v>
      </c>
      <c r="C57" s="5" t="str">
        <f>Transferencia!C57</f>
        <v>FABIANA AMELIA REIS PANTUZZA</v>
      </c>
      <c r="D57" s="5" t="str">
        <f>Transferencia!D57</f>
        <v>fabiana.pantuzza@gmail.com</v>
      </c>
      <c r="E57" s="5" t="str">
        <f>Transferencia!G57</f>
        <v>5531991915495</v>
      </c>
      <c r="F57" s="5" t="str">
        <f>Transferencia!H57</f>
        <v xml:space="preserve">e-CNPJ A1 - PME </v>
      </c>
      <c r="G57" s="6" t="str">
        <f>Transferencia!J57</f>
        <v>Ponto de Atendimento AR Certifast - Prado BH/MG</v>
      </c>
      <c r="H57" s="4" t="str">
        <f>VLOOKUP(G57,Página1!G:L,6,0)</f>
        <v>Isabella</v>
      </c>
      <c r="I57" s="4" t="s">
        <v>16</v>
      </c>
      <c r="J57" s="5" t="str">
        <f>Transferencia!L57</f>
        <v>007.623.956-05</v>
      </c>
      <c r="K57" s="5" t="str">
        <f>Transferencia!M57</f>
        <v>36.105.396/0001-89</v>
      </c>
      <c r="L57" s="5" t="s">
        <v>66</v>
      </c>
    </row>
    <row r="58" spans="1:12" ht="15.75" customHeight="1">
      <c r="A58" s="5" t="str">
        <f>Transferencia!A58</f>
        <v>23027676</v>
      </c>
      <c r="B58" s="5" t="str">
        <f>Transferencia!B58</f>
        <v>05/02/2025</v>
      </c>
      <c r="C58" s="5" t="str">
        <f>Transferencia!C58</f>
        <v>JOSEMAR OZIMO DA SILVA</v>
      </c>
      <c r="D58" s="5" t="str">
        <f>Transferencia!D58</f>
        <v>coord.societario@reluzcontabil.com.br</v>
      </c>
      <c r="E58" s="5" t="str">
        <f>Transferencia!G58</f>
        <v>5511999932357</v>
      </c>
      <c r="F58" s="5" t="str">
        <f>Transferencia!H58</f>
        <v xml:space="preserve">e-CNPJ A1 - PME </v>
      </c>
      <c r="G58" s="6" t="str">
        <f>Transferencia!J58</f>
        <v>Ponto de Atendimento AR Certifast - Maua Centro/SP</v>
      </c>
      <c r="H58" s="4" t="str">
        <f>VLOOKUP(G58,Página1!G:L,6,0)</f>
        <v>Ingrid</v>
      </c>
      <c r="I58" s="4" t="s">
        <v>16</v>
      </c>
      <c r="J58" s="5" t="str">
        <f>Transferencia!L58</f>
        <v>161.128.678-69</v>
      </c>
      <c r="K58" s="5" t="str">
        <f>Transferencia!M58</f>
        <v>40.257.330/0001-81</v>
      </c>
      <c r="L58" s="5" t="s">
        <v>67</v>
      </c>
    </row>
    <row r="59" spans="1:12" ht="15.75" customHeight="1">
      <c r="A59" s="5" t="str">
        <f>Transferencia!A59</f>
        <v>23038307</v>
      </c>
      <c r="B59" s="5" t="str">
        <f>Transferencia!B59</f>
        <v>05/02/2025</v>
      </c>
      <c r="C59" s="5" t="str">
        <f>Transferencia!C59</f>
        <v>ALFREDO MAGNO DORNELES AIRES</v>
      </c>
      <c r="D59" s="5" t="str">
        <f>Transferencia!D59</f>
        <v>alfredodorneles@refriiso.com.br</v>
      </c>
      <c r="E59" s="5" t="str">
        <f>Transferencia!G59</f>
        <v>5531998567864</v>
      </c>
      <c r="F59" s="5" t="str">
        <f>Transferencia!H59</f>
        <v xml:space="preserve">e-CNPJ A1 - PME </v>
      </c>
      <c r="G59" s="6" t="str">
        <f>Transferencia!J59</f>
        <v>Ponto de Atendimento AR Certifast - Prado BH/MG</v>
      </c>
      <c r="H59" s="4" t="str">
        <f>VLOOKUP(G59,Página1!G:L,6,0)</f>
        <v>Isabella</v>
      </c>
      <c r="I59" s="4" t="s">
        <v>16</v>
      </c>
      <c r="J59" s="5" t="str">
        <f>Transferencia!L59</f>
        <v>047.579.216-59</v>
      </c>
      <c r="K59" s="5" t="str">
        <f>Transferencia!M59</f>
        <v>26.335.879/0001-16</v>
      </c>
      <c r="L59" s="5"/>
    </row>
    <row r="60" spans="1:12" ht="15.75" customHeight="1">
      <c r="A60" s="5" t="str">
        <f>Transferencia!A60</f>
        <v>23038891</v>
      </c>
      <c r="B60" s="5" t="str">
        <f>Transferencia!B60</f>
        <v>05/02/2025</v>
      </c>
      <c r="C60" s="5" t="str">
        <f>Transferencia!C60</f>
        <v>MARCIO HENRIQUE ESPERANDIO DE SOUSA</v>
      </c>
      <c r="D60" s="5" t="str">
        <f>Transferencia!D60</f>
        <v>fiscal@matag.com.br</v>
      </c>
      <c r="E60" s="5" t="str">
        <f>Transferencia!G60</f>
        <v>5512982062550</v>
      </c>
      <c r="F60" s="5" t="str">
        <f>Transferencia!H60</f>
        <v xml:space="preserve">e-CNPJ A1 - PME </v>
      </c>
      <c r="G60" s="6" t="str">
        <f>Transferencia!J60</f>
        <v>PONTO DE ATENDIMENTO AR CERTIFAST - ANDROMEDA/SP</v>
      </c>
      <c r="H60" s="4" t="str">
        <f>VLOOKUP(G60,Página1!G:L,6,0)</f>
        <v>Rogério</v>
      </c>
      <c r="I60" s="4" t="s">
        <v>16</v>
      </c>
      <c r="J60" s="5" t="str">
        <f>Transferencia!L60</f>
        <v>479.440.618-57</v>
      </c>
      <c r="K60" s="5" t="str">
        <f>Transferencia!M60</f>
        <v>51.484.023/0001-50</v>
      </c>
      <c r="L60" s="5" t="s">
        <v>68</v>
      </c>
    </row>
    <row r="61" spans="1:12" ht="15.75" customHeight="1">
      <c r="A61" s="5" t="str">
        <f>Transferencia!A61</f>
        <v>23040127</v>
      </c>
      <c r="B61" s="5" t="str">
        <f>Transferencia!B61</f>
        <v>05/02/2025</v>
      </c>
      <c r="C61" s="5" t="str">
        <f>Transferencia!C61</f>
        <v>GERARDO LOPEZ VIDAL</v>
      </c>
      <c r="D61" s="5" t="str">
        <f>Transferencia!D61</f>
        <v>vendas.vidalembalagens@gmail.com</v>
      </c>
      <c r="E61" s="5" t="str">
        <f>Transferencia!G61</f>
        <v>551145132777</v>
      </c>
      <c r="F61" s="5" t="str">
        <f>Transferencia!H61</f>
        <v xml:space="preserve">e-CNPJ A1 - 1 ano </v>
      </c>
      <c r="G61" s="6" t="str">
        <f>Transferencia!J61</f>
        <v>Ponto de Atendimento AR Certifast - Maua Centro/SP</v>
      </c>
      <c r="H61" s="4" t="str">
        <f>VLOOKUP(G61,Página1!G:L,6,0)</f>
        <v>Ingrid</v>
      </c>
      <c r="I61" s="4" t="s">
        <v>16</v>
      </c>
      <c r="J61" s="5" t="str">
        <f>Transferencia!L61</f>
        <v>007.127.468-54</v>
      </c>
      <c r="K61" s="5" t="str">
        <f>Transferencia!M61</f>
        <v>72.795.008/0001-00</v>
      </c>
      <c r="L61" s="5" t="s">
        <v>69</v>
      </c>
    </row>
    <row r="62" spans="1:12" ht="15.75" customHeight="1">
      <c r="A62" s="5" t="str">
        <f>Transferencia!A62</f>
        <v>23040747</v>
      </c>
      <c r="B62" s="5" t="str">
        <f>Transferencia!B62</f>
        <v>05/02/2025</v>
      </c>
      <c r="C62" s="5" t="str">
        <f>Transferencia!C62</f>
        <v>JOSE ALOISIO ARAUJO</v>
      </c>
      <c r="D62" s="5" t="str">
        <f>Transferencia!D62</f>
        <v>jaloisioaraujo@gmail.com</v>
      </c>
      <c r="E62" s="5" t="str">
        <f>Transferencia!G62</f>
        <v>5512988318936</v>
      </c>
      <c r="F62" s="5" t="str">
        <f>Transferencia!H62</f>
        <v xml:space="preserve">e-CNPJ A1 - PME </v>
      </c>
      <c r="G62" s="6" t="str">
        <f>Transferencia!J62</f>
        <v>PONTO DE ATENDIMENTO AR CERTIFAST - ANDROMEDA/SP</v>
      </c>
      <c r="H62" s="4" t="str">
        <f>VLOOKUP(G62,Página1!G:L,6,0)</f>
        <v>Rogério</v>
      </c>
      <c r="I62" s="4" t="s">
        <v>16</v>
      </c>
      <c r="J62" s="5" t="str">
        <f>Transferencia!L62</f>
        <v>041.202.146-30</v>
      </c>
      <c r="K62" s="5" t="str">
        <f>Transferencia!M62</f>
        <v>35.284.164/0001-72</v>
      </c>
      <c r="L62" s="5" t="s">
        <v>70</v>
      </c>
    </row>
    <row r="63" spans="1:12" ht="15.75" customHeight="1">
      <c r="A63" s="5" t="str">
        <f>Transferencia!A63</f>
        <v>23040748</v>
      </c>
      <c r="B63" s="5" t="str">
        <f>Transferencia!B63</f>
        <v>05/02/2025</v>
      </c>
      <c r="C63" s="5" t="str">
        <f>Transferencia!C63</f>
        <v>LUCIANA CRISTOFALO DE MORAIS</v>
      </c>
      <c r="D63" s="5" t="str">
        <f>Transferencia!D63</f>
        <v>mavilinborges@gmail.com</v>
      </c>
      <c r="E63" s="5" t="str">
        <f>Transferencia!G63</f>
        <v>5512991945344</v>
      </c>
      <c r="F63" s="5" t="str">
        <f>Transferencia!H63</f>
        <v xml:space="preserve">e-CNPJ A1 - PME </v>
      </c>
      <c r="G63" s="6" t="str">
        <f>Transferencia!J63</f>
        <v>PONTO DE ATENDIMENTO AR CERTIFAST - ANDROMEDA/SP</v>
      </c>
      <c r="H63" s="4" t="str">
        <f>VLOOKUP(G63,Página1!G:L,6,0)</f>
        <v>Rogério</v>
      </c>
      <c r="I63" s="4" t="s">
        <v>16</v>
      </c>
      <c r="J63" s="5" t="str">
        <f>Transferencia!L63</f>
        <v>162.735.858-73</v>
      </c>
      <c r="K63" s="5" t="str">
        <f>Transferencia!M63</f>
        <v>26.194.140/0001-31</v>
      </c>
      <c r="L63" s="5" t="s">
        <v>71</v>
      </c>
    </row>
    <row r="64" spans="1:12" ht="15.75" customHeight="1">
      <c r="A64" s="5" t="str">
        <f>Transferencia!A64</f>
        <v>23043802</v>
      </c>
      <c r="B64" s="5" t="str">
        <f>Transferencia!B64</f>
        <v>05/02/2025</v>
      </c>
      <c r="C64" s="5" t="str">
        <f>Transferencia!C64</f>
        <v>JEFFERSON AMORIM DOS SANTOS</v>
      </c>
      <c r="D64" s="5" t="str">
        <f>Transferencia!D64</f>
        <v>jeffersonamorin.soldas@gmail.com</v>
      </c>
      <c r="E64" s="5" t="str">
        <f>Transferencia!G64</f>
        <v>5512982628408</v>
      </c>
      <c r="F64" s="5" t="str">
        <f>Transferencia!H64</f>
        <v xml:space="preserve">e-CNPJ A1 - 1 ano </v>
      </c>
      <c r="G64" s="6" t="str">
        <f>Transferencia!J64</f>
        <v>PONTO DE ATENDIMENTO AR CERTIFAST - ANDROMEDA/SP</v>
      </c>
      <c r="H64" s="4" t="str">
        <f>VLOOKUP(G64,Página1!G:L,6,0)</f>
        <v>Rogério</v>
      </c>
      <c r="I64" s="4" t="s">
        <v>16</v>
      </c>
      <c r="J64" s="5" t="str">
        <f>Transferencia!L64</f>
        <v>366.316.758-55</v>
      </c>
      <c r="K64" s="5" t="str">
        <f>Transferencia!M64</f>
        <v>37.371.452/0001-90</v>
      </c>
      <c r="L64" s="5"/>
    </row>
    <row r="65" spans="1:12" ht="15.75" customHeight="1">
      <c r="A65" s="5" t="str">
        <f>Transferencia!A65</f>
        <v>23045082</v>
      </c>
      <c r="B65" s="5" t="str">
        <f>Transferencia!B65</f>
        <v>05/02/2025</v>
      </c>
      <c r="C65" s="5" t="str">
        <f>Transferencia!C65</f>
        <v>MARIA JOSE MATEUS</v>
      </c>
      <c r="D65" s="5" t="str">
        <f>Transferencia!D65</f>
        <v>maria.mateus@camfer.com.br</v>
      </c>
      <c r="E65" s="5" t="str">
        <f>Transferencia!G65</f>
        <v>5511997300790</v>
      </c>
      <c r="F65" s="5" t="str">
        <f>Transferencia!H65</f>
        <v xml:space="preserve">e-CNPJ A1 - PME </v>
      </c>
      <c r="G65" s="6" t="str">
        <f>Transferencia!J65</f>
        <v>PONTO DE ATENDIMENTO AR CERTIFAST - ANDROMEDA/SP</v>
      </c>
      <c r="H65" s="4" t="str">
        <f>VLOOKUP(G65,Página1!G:L,6,0)</f>
        <v>Rogério</v>
      </c>
      <c r="I65" s="4" t="s">
        <v>16</v>
      </c>
      <c r="J65" s="5" t="str">
        <f>Transferencia!L65</f>
        <v>642.863.048-68</v>
      </c>
      <c r="K65" s="5" t="str">
        <f>Transferencia!M65</f>
        <v>24.462.134/0001-92</v>
      </c>
      <c r="L65" s="5"/>
    </row>
    <row r="66" spans="1:12" ht="15.75" customHeight="1">
      <c r="A66" s="5" t="str">
        <f>Transferencia!A66</f>
        <v>19946564</v>
      </c>
      <c r="B66" s="5" t="str">
        <f>Transferencia!B66</f>
        <v>06/02/2025</v>
      </c>
      <c r="C66" s="5" t="str">
        <f>Transferencia!C66</f>
        <v>ERIKA CHYPRIADES JUNQUEIRA AMARANTE</v>
      </c>
      <c r="D66" s="5" t="str">
        <f>Transferencia!D66</f>
        <v>CONSULTORIOBORGESLAGOA@HOTMAIL.COM</v>
      </c>
      <c r="E66" s="5" t="str">
        <f>Transferencia!G66</f>
        <v>5511999946385</v>
      </c>
      <c r="F66" s="5" t="str">
        <f>Transferencia!H66</f>
        <v xml:space="preserve">e-CPF A3 - 3 anos </v>
      </c>
      <c r="G66" s="6" t="str">
        <f>Transferencia!J66</f>
        <v>AR Certifast</v>
      </c>
      <c r="H66" s="4" t="str">
        <f>VLOOKUP(G66,Página1!G:L,6,0)</f>
        <v>Alexandre</v>
      </c>
      <c r="I66" s="4" t="s">
        <v>16</v>
      </c>
      <c r="J66" s="5" t="str">
        <f>Transferencia!L66</f>
        <v>174.348.608-12</v>
      </c>
      <c r="K66" s="5" t="str">
        <f>Transferencia!M66</f>
        <v/>
      </c>
      <c r="L66" s="5" t="s">
        <v>74</v>
      </c>
    </row>
    <row r="67" spans="1:12" ht="15.75" customHeight="1">
      <c r="A67" s="5" t="str">
        <f>Transferencia!A67</f>
        <v>19977076</v>
      </c>
      <c r="B67" s="5" t="str">
        <f>Transferencia!B67</f>
        <v>06/02/2025</v>
      </c>
      <c r="C67" s="5" t="str">
        <f>Transferencia!C67</f>
        <v>ANDREA TORCHI</v>
      </c>
      <c r="D67" s="5" t="str">
        <f>Transferencia!D67</f>
        <v>andrea.torchi@gmail.com</v>
      </c>
      <c r="E67" s="5" t="str">
        <f>Transferencia!G67</f>
        <v>554333244428</v>
      </c>
      <c r="F67" s="5" t="str">
        <f>Transferencia!H67</f>
        <v xml:space="preserve">e-CPF A3 - 3 anos </v>
      </c>
      <c r="G67" s="6" t="str">
        <f>Transferencia!J67</f>
        <v>Ponto de Atendimento AR Certifast - Pauliceia/SP</v>
      </c>
      <c r="H67" s="4" t="str">
        <f>VLOOKUP(G67,Página1!G:L,6,0)</f>
        <v>Alexandre</v>
      </c>
      <c r="I67" s="4" t="s">
        <v>16</v>
      </c>
      <c r="J67" s="5" t="str">
        <f>Transferencia!L67</f>
        <v>879.991.889-72</v>
      </c>
      <c r="K67" s="5" t="str">
        <f>Transferencia!M67</f>
        <v/>
      </c>
      <c r="L67" s="5"/>
    </row>
    <row r="68" spans="1:12" ht="15.75" customHeight="1">
      <c r="A68" s="5" t="str">
        <f>Transferencia!A68</f>
        <v>19978735</v>
      </c>
      <c r="B68" s="5" t="str">
        <f>Transferencia!B68</f>
        <v>06/02/2025</v>
      </c>
      <c r="C68" s="5" t="str">
        <f>Transferencia!C68</f>
        <v>JULIANA SIQUEIRA BELTRAO CALDAS</v>
      </c>
      <c r="D68" s="5" t="str">
        <f>Transferencia!D68</f>
        <v>jubeltrao76@gmail.com</v>
      </c>
      <c r="E68" s="5" t="str">
        <f>Transferencia!G68</f>
        <v>5531991619288</v>
      </c>
      <c r="F68" s="5" t="str">
        <f>Transferencia!H68</f>
        <v xml:space="preserve">e-CPF A3 - 3 anos </v>
      </c>
      <c r="G68" s="6" t="str">
        <f>Transferencia!J68</f>
        <v>Ponto de Atendimento AR Certifast - Prado BH/MG - JUS</v>
      </c>
      <c r="H68" s="4" t="str">
        <f>VLOOKUP(G68,Página1!G:L,6,0)</f>
        <v>Isabella</v>
      </c>
      <c r="I68" s="4" t="s">
        <v>16</v>
      </c>
      <c r="J68" s="5" t="str">
        <f>Transferencia!L68</f>
        <v>036.250.996-40</v>
      </c>
      <c r="K68" s="5" t="str">
        <f>Transferencia!M68</f>
        <v/>
      </c>
      <c r="L68" s="5"/>
    </row>
    <row r="69" spans="1:12" ht="15.75" customHeight="1">
      <c r="A69" s="5" t="str">
        <f>Transferencia!A69</f>
        <v>20022623</v>
      </c>
      <c r="B69" s="5" t="str">
        <f>Transferencia!B69</f>
        <v>06/02/2025</v>
      </c>
      <c r="C69" s="5" t="str">
        <f>Transferencia!C69</f>
        <v>ALEXANDRE KIYOSHI MISSAWA</v>
      </c>
      <c r="D69" s="5" t="str">
        <f>Transferencia!D69</f>
        <v>ALEXANDRE.KIYOSHI.MISSAWA@GMAIL.COM</v>
      </c>
      <c r="E69" s="5" t="str">
        <f>Transferencia!G69</f>
        <v>5512981885479</v>
      </c>
      <c r="F69" s="5" t="str">
        <f>Transferencia!H69</f>
        <v xml:space="preserve">e-CNPJ A3 - 3 anos </v>
      </c>
      <c r="G69" s="6" t="str">
        <f>Transferencia!J69</f>
        <v>PONTO DE ATENDIMENTO AR Certifast - Sao Jose dos Campos/SP</v>
      </c>
      <c r="H69" s="4" t="str">
        <f>VLOOKUP(G69,Página1!G:L,6,0)</f>
        <v>Rafael</v>
      </c>
      <c r="I69" s="4" t="s">
        <v>16</v>
      </c>
      <c r="J69" s="5" t="str">
        <f>Transferencia!L69</f>
        <v>341.317.638-26</v>
      </c>
      <c r="K69" s="5" t="str">
        <f>Transferencia!M69</f>
        <v>43.612.114/0001-03</v>
      </c>
      <c r="L69" s="5" t="s">
        <v>75</v>
      </c>
    </row>
    <row r="70" spans="1:12" ht="15.75" customHeight="1">
      <c r="A70" s="5" t="str">
        <f>Transferencia!A70</f>
        <v>20040163</v>
      </c>
      <c r="B70" s="5" t="str">
        <f>Transferencia!B70</f>
        <v>06/02/2025</v>
      </c>
      <c r="C70" s="5" t="str">
        <f>Transferencia!C70</f>
        <v>MARIA CRISTINA CAMEIRAO DA MOTTA FRANCO</v>
      </c>
      <c r="D70" s="5" t="str">
        <f>Transferencia!D70</f>
        <v>guilherme@loctok.com.br</v>
      </c>
      <c r="E70" s="5" t="str">
        <f>Transferencia!G70</f>
        <v>5511984361211</v>
      </c>
      <c r="F70" s="5" t="str">
        <f>Transferencia!H70</f>
        <v xml:space="preserve">e-CNPJ A3 - 3 anos </v>
      </c>
      <c r="G70" s="6" t="str">
        <f>Transferencia!J70</f>
        <v>AR Certifast</v>
      </c>
      <c r="H70" s="4" t="str">
        <f>VLOOKUP(G70,Página1!G:L,6,0)</f>
        <v>Alexandre</v>
      </c>
      <c r="I70" s="4" t="s">
        <v>16</v>
      </c>
      <c r="J70" s="5" t="str">
        <f>Transferencia!L70</f>
        <v>033.268.448-24</v>
      </c>
      <c r="K70" s="5" t="str">
        <f>Transferencia!M70</f>
        <v>12.899.630/0001-29</v>
      </c>
      <c r="L70" s="5"/>
    </row>
    <row r="71" spans="1:12" ht="15.75" customHeight="1">
      <c r="A71" s="5" t="str">
        <f>Transferencia!A71</f>
        <v>22984211</v>
      </c>
      <c r="B71" s="5" t="str">
        <f>Transferencia!B71</f>
        <v>06/02/2025</v>
      </c>
      <c r="C71" s="5" t="str">
        <f>Transferencia!C71</f>
        <v>CLAUDIO SILVEIRA SANTOS</v>
      </c>
      <c r="D71" s="5" t="str">
        <f>Transferencia!D71</f>
        <v>contato@requintedecoracoes.com.br</v>
      </c>
      <c r="E71" s="5" t="str">
        <f>Transferencia!G71</f>
        <v>5512997637827</v>
      </c>
      <c r="F71" s="5" t="str">
        <f>Transferencia!H71</f>
        <v xml:space="preserve">e-CNPJ A1 - PME </v>
      </c>
      <c r="G71" s="6" t="str">
        <f>Transferencia!J71</f>
        <v>PONTO DE ATENDIMENTO AR CERTIFAST - ANDROMEDA/SP</v>
      </c>
      <c r="H71" s="4" t="str">
        <f>VLOOKUP(G71,Página1!G:L,6,0)</f>
        <v>Rogério</v>
      </c>
      <c r="I71" s="4" t="s">
        <v>16</v>
      </c>
      <c r="J71" s="5" t="str">
        <f>Transferencia!L71</f>
        <v>084.760.068-88</v>
      </c>
      <c r="K71" s="5" t="str">
        <f>Transferencia!M71</f>
        <v>19.289.121/0001-23</v>
      </c>
      <c r="L71" s="5" t="s">
        <v>76</v>
      </c>
    </row>
    <row r="72" spans="1:12" ht="15.75" customHeight="1">
      <c r="A72" s="5" t="str">
        <f>Transferencia!A72</f>
        <v>22995427</v>
      </c>
      <c r="B72" s="5" t="str">
        <f>Transferencia!B72</f>
        <v>06/02/2025</v>
      </c>
      <c r="C72" s="5" t="str">
        <f>Transferencia!C72</f>
        <v>JEAN VLADIMIR DIAS</v>
      </c>
      <c r="D72" s="5" t="str">
        <f>Transferencia!D72</f>
        <v>jean@meiaskeny.com.br</v>
      </c>
      <c r="E72" s="5" t="str">
        <f>Transferencia!G72</f>
        <v>55</v>
      </c>
      <c r="F72" s="5" t="str">
        <f>Transferencia!H72</f>
        <v xml:space="preserve">e-CPF A1 - 1 ano </v>
      </c>
      <c r="G72" s="6" t="str">
        <f>Transferencia!J72</f>
        <v>Ponto de Atendimento AR Certifast - Maua Centro/SP</v>
      </c>
      <c r="H72" s="4" t="str">
        <f>VLOOKUP(G72,Página1!G:L,6,0)</f>
        <v>Ingrid</v>
      </c>
      <c r="I72" s="4" t="s">
        <v>16</v>
      </c>
      <c r="J72" s="5" t="str">
        <f>Transferencia!L72</f>
        <v>097.294.998-45</v>
      </c>
      <c r="K72" s="5" t="str">
        <f>Transferencia!M72</f>
        <v/>
      </c>
      <c r="L72" s="5" t="s">
        <v>77</v>
      </c>
    </row>
    <row r="73" spans="1:12" ht="15.75" customHeight="1">
      <c r="A73" s="5" t="str">
        <f>Transferencia!A73</f>
        <v>23021240</v>
      </c>
      <c r="B73" s="5" t="str">
        <f>Transferencia!B73</f>
        <v>06/02/2025</v>
      </c>
      <c r="C73" s="5" t="str">
        <f>Transferencia!C73</f>
        <v>JOSE GONZAGA DA SILVA</v>
      </c>
      <c r="D73" s="5" t="str">
        <f>Transferencia!D73</f>
        <v>mjgdoces@hotmail.com</v>
      </c>
      <c r="E73" s="5" t="str">
        <f>Transferencia!G73</f>
        <v>5512981307093</v>
      </c>
      <c r="F73" s="5" t="str">
        <f>Transferencia!H73</f>
        <v xml:space="preserve">e-CNPJ A1 - 1 ano </v>
      </c>
      <c r="G73" s="6" t="str">
        <f>Transferencia!J73</f>
        <v>PONTO DE ATENDIMENTO AR CERTIFAST - ANDROMEDA/SP</v>
      </c>
      <c r="H73" s="4" t="str">
        <f>VLOOKUP(G73,Página1!G:L,6,0)</f>
        <v>Rogério</v>
      </c>
      <c r="I73" s="4" t="s">
        <v>16</v>
      </c>
      <c r="J73" s="5" t="str">
        <f>Transferencia!L73</f>
        <v>484.593.649-68</v>
      </c>
      <c r="K73" s="5" t="str">
        <f>Transferencia!M73</f>
        <v>10.475.973/0001-30</v>
      </c>
      <c r="L73" s="5"/>
    </row>
    <row r="74" spans="1:12" ht="15.75" customHeight="1">
      <c r="A74" s="5" t="str">
        <f>Transferencia!A74</f>
        <v>23025708</v>
      </c>
      <c r="B74" s="5" t="str">
        <f>Transferencia!B74</f>
        <v>06/02/2025</v>
      </c>
      <c r="C74" s="5" t="str">
        <f>Transferencia!C74</f>
        <v>LUCAS NASTARI FERREIRA</v>
      </c>
      <c r="D74" s="5" t="str">
        <f>Transferencia!D74</f>
        <v>regiane@cbbsempresarial.com.br</v>
      </c>
      <c r="E74" s="5" t="str">
        <f>Transferencia!G74</f>
        <v>5511985431044</v>
      </c>
      <c r="F74" s="5" t="str">
        <f>Transferencia!H74</f>
        <v xml:space="preserve">e-CPF A1 - 1 ano </v>
      </c>
      <c r="G74" s="6" t="str">
        <f>Transferencia!J74</f>
        <v>AR Certifast</v>
      </c>
      <c r="H74" s="4" t="str">
        <f>VLOOKUP(G74,Página1!G:L,6,0)</f>
        <v>Alexandre</v>
      </c>
      <c r="I74" s="4" t="s">
        <v>16</v>
      </c>
      <c r="J74" s="5" t="str">
        <f>Transferencia!L74</f>
        <v>481.269.088-90</v>
      </c>
      <c r="K74" s="5" t="str">
        <f>Transferencia!M74</f>
        <v/>
      </c>
      <c r="L74" s="5" t="s">
        <v>78</v>
      </c>
    </row>
    <row r="75" spans="1:12" ht="15.75" customHeight="1">
      <c r="A75" s="5" t="str">
        <f>Transferencia!A75</f>
        <v>23029847</v>
      </c>
      <c r="B75" s="5" t="str">
        <f>Transferencia!B75</f>
        <v>06/02/2025</v>
      </c>
      <c r="C75" s="5" t="str">
        <f>Transferencia!C75</f>
        <v>RAFAELA FERREIRA IASSIA</v>
      </c>
      <c r="D75" s="5" t="str">
        <f>Transferencia!D75</f>
        <v>iassiarafaela@gmail.com</v>
      </c>
      <c r="E75" s="5" t="str">
        <f>Transferencia!G75</f>
        <v>55</v>
      </c>
      <c r="F75" s="5" t="str">
        <f>Transferencia!H75</f>
        <v xml:space="preserve">e-CPF A1 - 1 ano </v>
      </c>
      <c r="G75" s="6" t="str">
        <f>Transferencia!J75</f>
        <v>Ponto de Atendimento AR Certifast - Maua Centro/SP</v>
      </c>
      <c r="H75" s="4" t="str">
        <f>VLOOKUP(G75,Página1!G:L,6,0)</f>
        <v>Ingrid</v>
      </c>
      <c r="I75" s="4" t="s">
        <v>16</v>
      </c>
      <c r="J75" s="5" t="str">
        <f>Transferencia!L75</f>
        <v>424.830.758-86</v>
      </c>
      <c r="K75" s="5" t="str">
        <f>Transferencia!M75</f>
        <v/>
      </c>
      <c r="L75" s="5" t="s">
        <v>80</v>
      </c>
    </row>
    <row r="76" spans="1:12" ht="15.75" customHeight="1">
      <c r="A76" s="5" t="str">
        <f>Transferencia!A76</f>
        <v>23035912</v>
      </c>
      <c r="B76" s="5" t="str">
        <f>Transferencia!B76</f>
        <v>06/02/2025</v>
      </c>
      <c r="C76" s="5" t="str">
        <f>Transferencia!C76</f>
        <v>DELANO FLAVIO SILVA ARAUJO</v>
      </c>
      <c r="D76" s="5" t="str">
        <f>Transferencia!D76</f>
        <v>delanosaraujo@gmail.com</v>
      </c>
      <c r="E76" s="5" t="str">
        <f>Transferencia!G76</f>
        <v>5512991080126</v>
      </c>
      <c r="F76" s="5" t="str">
        <f>Transferencia!H76</f>
        <v xml:space="preserve">e-CPF A1 - 1 ano </v>
      </c>
      <c r="G76" s="6" t="str">
        <f>Transferencia!J76</f>
        <v>PONTO DE ATENDIMENTO AR CERTIFAST - ANDROMEDA/SP</v>
      </c>
      <c r="H76" s="4" t="str">
        <f>VLOOKUP(G76,Página1!G:L,6,0)</f>
        <v>Rogério</v>
      </c>
      <c r="I76" s="4" t="s">
        <v>16</v>
      </c>
      <c r="J76" s="5" t="str">
        <f>Transferencia!L76</f>
        <v>007.797.766-15</v>
      </c>
      <c r="K76" s="5" t="str">
        <f>Transferencia!M76</f>
        <v/>
      </c>
      <c r="L76" s="5" t="s">
        <v>81</v>
      </c>
    </row>
    <row r="77" spans="1:12" ht="15.75" customHeight="1">
      <c r="A77" s="5" t="str">
        <f>Transferencia!A77</f>
        <v>23037759</v>
      </c>
      <c r="B77" s="5" t="str">
        <f>Transferencia!B77</f>
        <v>06/02/2025</v>
      </c>
      <c r="C77" s="5" t="str">
        <f>Transferencia!C77</f>
        <v>ELECIANE ARAUJO ANGELIN FERNANDES</v>
      </c>
      <c r="D77" s="5" t="str">
        <f>Transferencia!D77</f>
        <v>eleciane.fernandes@gmail.com</v>
      </c>
      <c r="E77" s="5" t="str">
        <f>Transferencia!G77</f>
        <v>5512991147446</v>
      </c>
      <c r="F77" s="5" t="str">
        <f>Transferencia!H77</f>
        <v xml:space="preserve">e-CNPJ A1 - 1 ano </v>
      </c>
      <c r="G77" s="6" t="str">
        <f>Transferencia!J77</f>
        <v>PONTO DE ATENDIMENTO AR CERTIFAST - ANDROMEDA/SP</v>
      </c>
      <c r="H77" s="4" t="str">
        <f>VLOOKUP(G77,Página1!G:L,6,0)</f>
        <v>Rogério</v>
      </c>
      <c r="I77" s="4" t="s">
        <v>16</v>
      </c>
      <c r="J77" s="5" t="str">
        <f>Transferencia!L77</f>
        <v>253.476.868-98</v>
      </c>
      <c r="K77" s="5" t="str">
        <f>Transferencia!M77</f>
        <v>50.783.496/0001-95</v>
      </c>
      <c r="L77" s="5" t="s">
        <v>82</v>
      </c>
    </row>
    <row r="78" spans="1:12" ht="15.75" customHeight="1">
      <c r="A78" s="5" t="str">
        <f>Transferencia!A78</f>
        <v>23038364</v>
      </c>
      <c r="B78" s="5" t="str">
        <f>Transferencia!B78</f>
        <v>06/02/2025</v>
      </c>
      <c r="C78" s="5" t="str">
        <f>Transferencia!C78</f>
        <v>EDSON HENRIQUE LIMA DOS SANTOS</v>
      </c>
      <c r="D78" s="5" t="str">
        <f>Transferencia!D78</f>
        <v>jh.contabilidade@hotmail.com</v>
      </c>
      <c r="E78" s="5" t="str">
        <f>Transferencia!G78</f>
        <v>5511943385851</v>
      </c>
      <c r="F78" s="5" t="str">
        <f>Transferencia!H78</f>
        <v xml:space="preserve">e-CNPJ A1 - PME </v>
      </c>
      <c r="G78" s="6" t="str">
        <f>Transferencia!J78</f>
        <v>PONTO DE ATENDIMENTO AR CERTIFAST - ANDROMEDA/SP</v>
      </c>
      <c r="H78" s="4" t="str">
        <f>VLOOKUP(G78,Página1!G:L,6,0)</f>
        <v>Rogério</v>
      </c>
      <c r="I78" s="4" t="s">
        <v>16</v>
      </c>
      <c r="J78" s="5" t="str">
        <f>Transferencia!L78</f>
        <v>460.481.738-30</v>
      </c>
      <c r="K78" s="5" t="str">
        <f>Transferencia!M78</f>
        <v>29.475.512/0001-96</v>
      </c>
      <c r="L78" s="5"/>
    </row>
    <row r="79" spans="1:12" ht="15.75" customHeight="1">
      <c r="A79" s="5" t="str">
        <f>Transferencia!A79</f>
        <v>23042051</v>
      </c>
      <c r="B79" s="5" t="str">
        <f>Transferencia!B79</f>
        <v>06/02/2025</v>
      </c>
      <c r="C79" s="5" t="str">
        <f>Transferencia!C79</f>
        <v>JOELMA DE OLIVEIRA FERREIRA</v>
      </c>
      <c r="D79" s="5" t="str">
        <f>Transferencia!D79</f>
        <v>borbolletakids@gmail.com</v>
      </c>
      <c r="E79" s="5" t="str">
        <f>Transferencia!G79</f>
        <v>5512996128882</v>
      </c>
      <c r="F79" s="5" t="str">
        <f>Transferencia!H79</f>
        <v xml:space="preserve">e-CNPJ A1 - 1 ano </v>
      </c>
      <c r="G79" s="6" t="str">
        <f>Transferencia!J79</f>
        <v>PONTO DE ATENDIMENTO AR CERTIFAST - ANDROMEDA/SP</v>
      </c>
      <c r="H79" s="4" t="str">
        <f>VLOOKUP(G79,Página1!G:L,6,0)</f>
        <v>Rogério</v>
      </c>
      <c r="I79" s="4" t="s">
        <v>16</v>
      </c>
      <c r="J79" s="5" t="str">
        <f>Transferencia!L79</f>
        <v>223.474.788-00</v>
      </c>
      <c r="K79" s="5" t="str">
        <f>Transferencia!M79</f>
        <v>48.479.515/0001-42</v>
      </c>
      <c r="L79" s="5" t="s">
        <v>83</v>
      </c>
    </row>
    <row r="80" spans="1:12" ht="15.75" customHeight="1">
      <c r="A80" s="5" t="str">
        <f>Transferencia!A80</f>
        <v>23043846</v>
      </c>
      <c r="B80" s="5" t="str">
        <f>Transferencia!B80</f>
        <v>06/02/2025</v>
      </c>
      <c r="C80" s="5" t="str">
        <f>Transferencia!C80</f>
        <v>PEDRO HENRIQUE ESTEVES FURTADO</v>
      </c>
      <c r="D80" s="5" t="str">
        <f>Transferencia!D80</f>
        <v>pedrohefurtado@gmail.com</v>
      </c>
      <c r="E80" s="5" t="str">
        <f>Transferencia!G80</f>
        <v>55</v>
      </c>
      <c r="F80" s="5" t="str">
        <f>Transferencia!H80</f>
        <v xml:space="preserve">e-CPF A1 - 1 ano </v>
      </c>
      <c r="G80" s="6" t="str">
        <f>Transferencia!J80</f>
        <v>Ponto de Atendimento AR Certifast - Maua Centro/SP</v>
      </c>
      <c r="H80" s="4" t="str">
        <f>VLOOKUP(G80,Página1!G:L,6,0)</f>
        <v>Ingrid</v>
      </c>
      <c r="I80" s="4" t="s">
        <v>16</v>
      </c>
      <c r="J80" s="5" t="str">
        <f>Transferencia!L80</f>
        <v>415.892.318-21</v>
      </c>
      <c r="K80" s="5" t="str">
        <f>Transferencia!M80</f>
        <v/>
      </c>
      <c r="L80" s="5"/>
    </row>
    <row r="81" spans="1:12" ht="15.75" customHeight="1">
      <c r="A81" s="5" t="str">
        <f>Transferencia!A81</f>
        <v>23044100</v>
      </c>
      <c r="B81" s="5" t="str">
        <f>Transferencia!B81</f>
        <v>06/02/2025</v>
      </c>
      <c r="C81" s="5" t="str">
        <f>Transferencia!C81</f>
        <v>PIETRA EDUARDA BELLINI</v>
      </c>
      <c r="D81" s="5" t="str">
        <f>Transferencia!D81</f>
        <v>pedrohefurtado@gmail.com</v>
      </c>
      <c r="E81" s="5" t="str">
        <f>Transferencia!G81</f>
        <v>55</v>
      </c>
      <c r="F81" s="5" t="str">
        <f>Transferencia!H81</f>
        <v xml:space="preserve">e-CPF A1 - 1 ano </v>
      </c>
      <c r="G81" s="6" t="str">
        <f>Transferencia!J81</f>
        <v>Ponto de Atendimento AR Certifast - Maua Centro/SP</v>
      </c>
      <c r="H81" s="4" t="str">
        <f>VLOOKUP(G81,Página1!G:L,6,0)</f>
        <v>Ingrid</v>
      </c>
      <c r="I81" s="4" t="s">
        <v>16</v>
      </c>
      <c r="J81" s="5" t="str">
        <f>Transferencia!L81</f>
        <v>489.708.448-21</v>
      </c>
      <c r="K81" s="5" t="str">
        <f>Transferencia!M81</f>
        <v/>
      </c>
      <c r="L81" s="5" t="s">
        <v>84</v>
      </c>
    </row>
    <row r="82" spans="1:12" ht="15.75" customHeight="1">
      <c r="A82" s="5" t="str">
        <f>Transferencia!A82</f>
        <v>23044118</v>
      </c>
      <c r="B82" s="5" t="str">
        <f>Transferencia!B82</f>
        <v>06/02/2025</v>
      </c>
      <c r="C82" s="5" t="str">
        <f>Transferencia!C82</f>
        <v>PATRICIA OLIVEIRA MONTANINI</v>
      </c>
      <c r="D82" s="5" t="str">
        <f>Transferencia!D82</f>
        <v>alan@slightsolution.com.br</v>
      </c>
      <c r="E82" s="5" t="str">
        <f>Transferencia!G82</f>
        <v>55</v>
      </c>
      <c r="F82" s="5" t="str">
        <f>Transferencia!H82</f>
        <v xml:space="preserve">e-CPF A1 - 1 ano </v>
      </c>
      <c r="G82" s="6" t="str">
        <f>Transferencia!J82</f>
        <v>Ponto de Atendimento AR Certifast - Maua Centro/SP</v>
      </c>
      <c r="H82" s="4" t="str">
        <f>VLOOKUP(G82,Página1!G:L,6,0)</f>
        <v>Ingrid</v>
      </c>
      <c r="I82" s="4" t="s">
        <v>16</v>
      </c>
      <c r="J82" s="5" t="str">
        <f>Transferencia!L82</f>
        <v>222.897.848-50</v>
      </c>
      <c r="K82" s="5" t="str">
        <f>Transferencia!M82</f>
        <v/>
      </c>
      <c r="L82" s="5" t="s">
        <v>85</v>
      </c>
    </row>
    <row r="83" spans="1:12" ht="15.75" customHeight="1">
      <c r="A83" s="5" t="str">
        <f>Transferencia!A83</f>
        <v>23045953</v>
      </c>
      <c r="B83" s="5" t="str">
        <f>Transferencia!B83</f>
        <v>06/02/2025</v>
      </c>
      <c r="C83" s="5" t="str">
        <f>Transferencia!C83</f>
        <v>ARIADNE DA MATA SOUSA</v>
      </c>
      <c r="D83" s="5" t="str">
        <f>Transferencia!D83</f>
        <v>ariadnedamata@gmail.com</v>
      </c>
      <c r="E83" s="5" t="str">
        <f>Transferencia!G83</f>
        <v>5511988430325</v>
      </c>
      <c r="F83" s="5" t="str">
        <f>Transferencia!H83</f>
        <v xml:space="preserve">e-CNPJ A1 - 1 ano </v>
      </c>
      <c r="G83" s="6" t="str">
        <f>Transferencia!J83</f>
        <v>Ponto de Atendimento AR Certifast - Maua Centro/SP</v>
      </c>
      <c r="H83" s="4" t="str">
        <f>VLOOKUP(G83,Página1!G:L,6,0)</f>
        <v>Ingrid</v>
      </c>
      <c r="I83" s="4" t="s">
        <v>16</v>
      </c>
      <c r="J83" s="5" t="str">
        <f>Transferencia!L83</f>
        <v>700.172.521-80</v>
      </c>
      <c r="K83" s="5" t="str">
        <f>Transferencia!M83</f>
        <v>53.419.467/0001-37</v>
      </c>
      <c r="L83" s="5" t="s">
        <v>86</v>
      </c>
    </row>
    <row r="84" spans="1:12" ht="15.75" customHeight="1">
      <c r="A84" s="5" t="str">
        <f>Transferencia!A84</f>
        <v>23046250</v>
      </c>
      <c r="B84" s="5" t="str">
        <f>Transferencia!B84</f>
        <v>06/02/2025</v>
      </c>
      <c r="C84" s="5" t="str">
        <f>Transferencia!C84</f>
        <v>GILSON APARECIDO LOPES</v>
      </c>
      <c r="D84" s="5" t="str">
        <f>Transferencia!D84</f>
        <v>financeiro@spfrutas.com.br</v>
      </c>
      <c r="E84" s="5" t="str">
        <f>Transferencia!G84</f>
        <v>5512997076028</v>
      </c>
      <c r="F84" s="5" t="str">
        <f>Transferencia!H84</f>
        <v xml:space="preserve">e-CNPJ A1 - PME </v>
      </c>
      <c r="G84" s="6" t="str">
        <f>Transferencia!J84</f>
        <v>PONTO DE ATENDIMENTO AR CERTIFAST - ANDROMEDA/SP</v>
      </c>
      <c r="H84" s="4" t="str">
        <f>VLOOKUP(G84,Página1!G:L,6,0)</f>
        <v>Rogério</v>
      </c>
      <c r="I84" s="4" t="s">
        <v>16</v>
      </c>
      <c r="J84" s="5" t="str">
        <f>Transferencia!L84</f>
        <v>063.839.318-30</v>
      </c>
      <c r="K84" s="5" t="str">
        <f>Transferencia!M84</f>
        <v>29.333.480/0001-94</v>
      </c>
      <c r="L84" s="5" t="s">
        <v>87</v>
      </c>
    </row>
    <row r="85" spans="1:12" ht="15.75" customHeight="1">
      <c r="A85" s="5" t="str">
        <f>Transferencia!A85</f>
        <v>23047095</v>
      </c>
      <c r="B85" s="5" t="str">
        <f>Transferencia!B85</f>
        <v>06/02/2025</v>
      </c>
      <c r="C85" s="5" t="str">
        <f>Transferencia!C85</f>
        <v>VANDERLEI JUNIO DA SILVA</v>
      </c>
      <c r="D85" s="5" t="str">
        <f>Transferencia!D85</f>
        <v>vjassessoria.nr@gmail.com</v>
      </c>
      <c r="E85" s="5" t="str">
        <f>Transferencia!G85</f>
        <v>5512996642395</v>
      </c>
      <c r="F85" s="5" t="str">
        <f>Transferencia!H85</f>
        <v xml:space="preserve">e-CNPJ A1 - PME </v>
      </c>
      <c r="G85" s="6" t="str">
        <f>Transferencia!J85</f>
        <v>PONTO DE ATENDIMENTO AR CERTIFAST - ANDROMEDA/SP</v>
      </c>
      <c r="H85" s="4" t="str">
        <f>VLOOKUP(G85,Página1!G:L,6,0)</f>
        <v>Rogério</v>
      </c>
      <c r="I85" s="4" t="s">
        <v>16</v>
      </c>
      <c r="J85" s="5" t="str">
        <f>Transferencia!L85</f>
        <v>313.138.358-54</v>
      </c>
      <c r="K85" s="5" t="str">
        <f>Transferencia!M85</f>
        <v>48.337.574/0001-86</v>
      </c>
      <c r="L85" s="5"/>
    </row>
    <row r="86" spans="1:12" ht="15.75" customHeight="1">
      <c r="A86" s="5" t="str">
        <f>Transferencia!A86</f>
        <v>19998402</v>
      </c>
      <c r="B86" s="5" t="str">
        <f>Transferencia!B86</f>
        <v>07/02/2025</v>
      </c>
      <c r="C86" s="5" t="str">
        <f>Transferencia!C86</f>
        <v>JULIANA MOTA BONANNI</v>
      </c>
      <c r="D86" s="5" t="str">
        <f>Transferencia!D86</f>
        <v>juliana.bonanni@tjmg.jus.br</v>
      </c>
      <c r="E86" s="5" t="str">
        <f>Transferencia!G86</f>
        <v>5535988980854</v>
      </c>
      <c r="F86" s="5" t="str">
        <f>Transferencia!H86</f>
        <v xml:space="preserve">e-CPF A3 - 3 anos </v>
      </c>
      <c r="G86" s="6" t="str">
        <f>Transferencia!J86</f>
        <v>AR Certifast - Jus</v>
      </c>
      <c r="H86" s="4" t="str">
        <f>VLOOKUP(G86,Página1!G:L,6,0)</f>
        <v>Alexandre</v>
      </c>
      <c r="I86" s="4" t="s">
        <v>16</v>
      </c>
      <c r="J86" s="5" t="str">
        <f>Transferencia!L86</f>
        <v>000.313.766-06</v>
      </c>
      <c r="K86" s="5" t="str">
        <f>Transferencia!M86</f>
        <v/>
      </c>
      <c r="L86" s="5"/>
    </row>
    <row r="87" spans="1:12" ht="15.75" customHeight="1">
      <c r="A87" s="5" t="str">
        <f>Transferencia!A87</f>
        <v>20019374</v>
      </c>
      <c r="B87" s="5" t="str">
        <f>Transferencia!B87</f>
        <v>07/02/2025</v>
      </c>
      <c r="C87" s="5" t="str">
        <f>Transferencia!C87</f>
        <v>ALECSANDRO DE MOURA SILVA</v>
      </c>
      <c r="D87" s="5" t="str">
        <f>Transferencia!D87</f>
        <v>ALECSMS@YAHOO.COM.BR</v>
      </c>
      <c r="E87" s="5" t="str">
        <f>Transferencia!G87</f>
        <v>5512981120556</v>
      </c>
      <c r="F87" s="5" t="str">
        <f>Transferencia!H87</f>
        <v xml:space="preserve">e-CNPJ A3 - 3 anos </v>
      </c>
      <c r="G87" s="6" t="str">
        <f>Transferencia!J87</f>
        <v>PONTO DE ATENDIMENTO AR CERTIFAST - ANDROMEDA/SP</v>
      </c>
      <c r="H87" s="4" t="str">
        <f>VLOOKUP(G87,Página1!G:L,6,0)</f>
        <v>Rogério</v>
      </c>
      <c r="I87" s="4" t="s">
        <v>16</v>
      </c>
      <c r="J87" s="5" t="str">
        <f>Transferencia!L87</f>
        <v>250.425.358-37</v>
      </c>
      <c r="K87" s="5" t="str">
        <f>Transferencia!M87</f>
        <v>22.355.891/0001-31</v>
      </c>
      <c r="L87" s="5" t="s">
        <v>88</v>
      </c>
    </row>
    <row r="88" spans="1:12" ht="15.75" customHeight="1">
      <c r="A88" s="5" t="str">
        <f>Transferencia!A88</f>
        <v>20027153</v>
      </c>
      <c r="B88" s="5" t="str">
        <f>Transferencia!B88</f>
        <v>07/02/2025</v>
      </c>
      <c r="C88" s="5" t="str">
        <f>Transferencia!C88</f>
        <v>TERESA CRISTINA BARBOSA BARRETO</v>
      </c>
      <c r="D88" s="5" t="str">
        <f>Transferencia!D88</f>
        <v>teresa.barreto@tjmg.jus.br</v>
      </c>
      <c r="E88" s="5" t="str">
        <f>Transferencia!G88</f>
        <v>5531999792375</v>
      </c>
      <c r="F88" s="5" t="str">
        <f>Transferencia!H88</f>
        <v xml:space="preserve">e-CPF A3 - 3 anos </v>
      </c>
      <c r="G88" s="6" t="str">
        <f>Transferencia!J88</f>
        <v>Ponto de Atendimento AR Certifast - Prado BH/MG</v>
      </c>
      <c r="H88" s="4" t="str">
        <f>VLOOKUP(G88,Página1!G:L,6,0)</f>
        <v>Isabella</v>
      </c>
      <c r="I88" s="4" t="s">
        <v>16</v>
      </c>
      <c r="J88" s="5" t="str">
        <f>Transferencia!L88</f>
        <v>884.646.606-34</v>
      </c>
      <c r="K88" s="5" t="str">
        <f>Transferencia!M88</f>
        <v/>
      </c>
      <c r="L88" s="5" t="s">
        <v>89</v>
      </c>
    </row>
    <row r="89" spans="1:12" ht="15.75" customHeight="1">
      <c r="A89" s="5" t="str">
        <f>Transferencia!A89</f>
        <v>20035769</v>
      </c>
      <c r="B89" s="5" t="str">
        <f>Transferencia!B89</f>
        <v>07/02/2025</v>
      </c>
      <c r="C89" s="5" t="str">
        <f>Transferencia!C89</f>
        <v>MELYSSA TAMIETTI SILVA</v>
      </c>
      <c r="D89" s="5" t="str">
        <f>Transferencia!D89</f>
        <v>MELYSSA.TAMIETTI@GMAIL.COM</v>
      </c>
      <c r="E89" s="5" t="str">
        <f>Transferencia!G89</f>
        <v>5531993435315</v>
      </c>
      <c r="F89" s="5" t="str">
        <f>Transferencia!H89</f>
        <v xml:space="preserve">e-CNPJ A3 - 3 anos </v>
      </c>
      <c r="G89" s="6" t="str">
        <f>Transferencia!J89</f>
        <v>Ponto de Atendimento AR Certifast - Prado BH/MG</v>
      </c>
      <c r="H89" s="4" t="str">
        <f>VLOOKUP(G89,Página1!G:L,6,0)</f>
        <v>Isabella</v>
      </c>
      <c r="I89" s="4" t="s">
        <v>16</v>
      </c>
      <c r="J89" s="5" t="str">
        <f>Transferencia!L89</f>
        <v>113.689.666-08</v>
      </c>
      <c r="K89" s="5" t="str">
        <f>Transferencia!M89</f>
        <v>45.029.620/0001-91</v>
      </c>
      <c r="L89" s="5" t="s">
        <v>90</v>
      </c>
    </row>
    <row r="90" spans="1:12" ht="15.75" customHeight="1">
      <c r="A90" s="5" t="str">
        <f>Transferencia!A90</f>
        <v>20035789</v>
      </c>
      <c r="B90" s="5" t="str">
        <f>Transferencia!B90</f>
        <v>07/02/2025</v>
      </c>
      <c r="C90" s="5" t="str">
        <f>Transferencia!C90</f>
        <v>ROBERTO RODRIGO DE MARCHI MENDES</v>
      </c>
      <c r="D90" s="5" t="str">
        <f>Transferencia!D90</f>
        <v>ROBERTO.MENDES@CERTISIGN.COM.BR</v>
      </c>
      <c r="E90" s="5" t="str">
        <f>Transferencia!G90</f>
        <v>55</v>
      </c>
      <c r="F90" s="5" t="str">
        <f>Transferencia!H90</f>
        <v xml:space="preserve">e-CPF A3 - 3 anos </v>
      </c>
      <c r="G90" s="6" t="str">
        <f>Transferencia!J90</f>
        <v>Ponto de Atendimento AR Certifast - Maua Centro/SP</v>
      </c>
      <c r="H90" s="4" t="str">
        <f>VLOOKUP(G90,Página1!G:L,6,0)</f>
        <v>Ingrid</v>
      </c>
      <c r="I90" s="4" t="s">
        <v>16</v>
      </c>
      <c r="J90" s="5" t="str">
        <f>Transferencia!L90</f>
        <v>221.653.518-47</v>
      </c>
      <c r="K90" s="5" t="str">
        <f>Transferencia!M90</f>
        <v/>
      </c>
      <c r="L90" s="5" t="s">
        <v>91</v>
      </c>
    </row>
    <row r="91" spans="1:12" ht="15.75" customHeight="1">
      <c r="A91" s="5" t="str">
        <f>Transferencia!A91</f>
        <v>20036498</v>
      </c>
      <c r="B91" s="5" t="str">
        <f>Transferencia!B91</f>
        <v>07/02/2025</v>
      </c>
      <c r="C91" s="5" t="str">
        <f>Transferencia!C91</f>
        <v>FABIO HENRIQUE GOMES DE OLIVEIRA SANTOS</v>
      </c>
      <c r="D91" s="5" t="str">
        <f>Transferencia!D91</f>
        <v>DIASCOTACAO@HOTMAIL.COM</v>
      </c>
      <c r="E91" s="5" t="str">
        <f>Transferencia!G91</f>
        <v>5531997187081</v>
      </c>
      <c r="F91" s="5" t="str">
        <f>Transferencia!H91</f>
        <v xml:space="preserve">e-CPF A3 - 3 anos </v>
      </c>
      <c r="G91" s="6" t="str">
        <f>Transferencia!J91</f>
        <v>Ponto de Atendimento AR Certifast - Prado BH/MG</v>
      </c>
      <c r="H91" s="4" t="str">
        <f>VLOOKUP(G91,Página1!G:L,6,0)</f>
        <v>Isabella</v>
      </c>
      <c r="I91" s="4" t="s">
        <v>16</v>
      </c>
      <c r="J91" s="5" t="str">
        <f>Transferencia!L91</f>
        <v>101.834.046-70</v>
      </c>
      <c r="K91" s="5" t="str">
        <f>Transferencia!M91</f>
        <v/>
      </c>
      <c r="L91" s="5" t="s">
        <v>92</v>
      </c>
    </row>
    <row r="92" spans="1:12" ht="15.75" customHeight="1">
      <c r="A92" s="5" t="str">
        <f>Transferencia!A92</f>
        <v>20044127</v>
      </c>
      <c r="B92" s="5" t="str">
        <f>Transferencia!B92</f>
        <v>07/02/2025</v>
      </c>
      <c r="C92" s="5" t="str">
        <f>Transferencia!C92</f>
        <v>GUILHERME LATINI FRANCA</v>
      </c>
      <c r="D92" s="5" t="str">
        <f>Transferencia!D92</f>
        <v>GUILHERME.FRANCA@NEXTGI.COM.BR</v>
      </c>
      <c r="E92" s="5" t="str">
        <f>Transferencia!G92</f>
        <v>5531983652910</v>
      </c>
      <c r="F92" s="5" t="str">
        <f>Transferencia!H92</f>
        <v xml:space="preserve">e-CPF A3 - 3 anos </v>
      </c>
      <c r="G92" s="6" t="str">
        <f>Transferencia!J92</f>
        <v>Ponto de Atendimento AR Certifast - Prado BH/MG</v>
      </c>
      <c r="H92" s="4" t="str">
        <f>VLOOKUP(G92,Página1!G:L,6,0)</f>
        <v>Isabella</v>
      </c>
      <c r="I92" s="4" t="s">
        <v>16</v>
      </c>
      <c r="J92" s="5" t="str">
        <f>Transferencia!L92</f>
        <v>014.835.026-78</v>
      </c>
      <c r="K92" s="5" t="str">
        <f>Transferencia!M92</f>
        <v/>
      </c>
      <c r="L92" s="5" t="s">
        <v>93</v>
      </c>
    </row>
    <row r="93" spans="1:12" ht="15.75" customHeight="1">
      <c r="A93" s="5" t="str">
        <f>Transferencia!A93</f>
        <v>20054438</v>
      </c>
      <c r="B93" s="5" t="str">
        <f>Transferencia!B93</f>
        <v>07/02/2025</v>
      </c>
      <c r="C93" s="5" t="str">
        <f>Transferencia!C93</f>
        <v>RONALDO VIEIRA DA SILVA</v>
      </c>
      <c r="D93" s="5" t="str">
        <f>Transferencia!D93</f>
        <v>ADMTECNOR@GMAIL.COM</v>
      </c>
      <c r="E93" s="5" t="str">
        <f>Transferencia!G93</f>
        <v>5511996632478</v>
      </c>
      <c r="F93" s="5" t="str">
        <f>Transferencia!H93</f>
        <v xml:space="preserve">e-CNPJ A3 - 3 anos </v>
      </c>
      <c r="G93" s="6" t="str">
        <f>Transferencia!J93</f>
        <v>AR Certifast</v>
      </c>
      <c r="H93" s="4" t="str">
        <f>VLOOKUP(G93,Página1!G:L,6,0)</f>
        <v>Alexandre</v>
      </c>
      <c r="I93" s="4" t="s">
        <v>16</v>
      </c>
      <c r="J93" s="5" t="str">
        <f>Transferencia!L93</f>
        <v>092.701.298-70</v>
      </c>
      <c r="K93" s="5" t="str">
        <f>Transferencia!M93</f>
        <v>09.458.242/0001-06</v>
      </c>
      <c r="L93" s="5" t="s">
        <v>94</v>
      </c>
    </row>
    <row r="94" spans="1:12" ht="15.75" customHeight="1">
      <c r="A94" s="5" t="str">
        <f>Transferencia!A94</f>
        <v>22955939</v>
      </c>
      <c r="B94" s="5" t="str">
        <f>Transferencia!B94</f>
        <v>07/02/2025</v>
      </c>
      <c r="C94" s="5" t="str">
        <f>Transferencia!C94</f>
        <v>CAROLINE CASTRO DE SOUZA</v>
      </c>
      <c r="D94" s="5" t="str">
        <f>Transferencia!D94</f>
        <v>contato@carolinecastro.com.br</v>
      </c>
      <c r="E94" s="5" t="str">
        <f>Transferencia!G94</f>
        <v>5531975813506</v>
      </c>
      <c r="F94" s="5" t="str">
        <f>Transferencia!H94</f>
        <v xml:space="preserve">e-CPF A1 - 1 ano </v>
      </c>
      <c r="G94" s="6" t="str">
        <f>Transferencia!J94</f>
        <v>Ponto de Atendimento AR Certifast - Prado BH/MG</v>
      </c>
      <c r="H94" s="4" t="str">
        <f>VLOOKUP(G94,Página1!G:L,6,0)</f>
        <v>Isabella</v>
      </c>
      <c r="I94" s="4" t="s">
        <v>16</v>
      </c>
      <c r="J94" s="5" t="str">
        <f>Transferencia!L94</f>
        <v>050.522.616-24</v>
      </c>
      <c r="K94" s="5" t="str">
        <f>Transferencia!M94</f>
        <v/>
      </c>
      <c r="L94" s="5" t="s">
        <v>95</v>
      </c>
    </row>
    <row r="95" spans="1:12" ht="15.75" customHeight="1">
      <c r="A95" s="5" t="str">
        <f>Transferencia!A95</f>
        <v>22999919</v>
      </c>
      <c r="B95" s="5" t="str">
        <f>Transferencia!B95</f>
        <v>07/02/2025</v>
      </c>
      <c r="C95" s="5" t="str">
        <f>Transferencia!C95</f>
        <v>ADRIANO PEREIRA VICENTE</v>
      </c>
      <c r="D95" s="5" t="str">
        <f>Transferencia!D95</f>
        <v>ap1531777@gmail.com</v>
      </c>
      <c r="E95" s="5" t="str">
        <f>Transferencia!G95</f>
        <v>5512996800176</v>
      </c>
      <c r="F95" s="5" t="str">
        <f>Transferencia!H95</f>
        <v xml:space="preserve">e-CPF A1 - 1 ano </v>
      </c>
      <c r="G95" s="6" t="str">
        <f>Transferencia!J95</f>
        <v>PONTO DE ATENDIMENTO AR CERTIFAST - ANDROMEDA/SP</v>
      </c>
      <c r="H95" s="4" t="str">
        <f>VLOOKUP(G95,Página1!G:L,6,0)</f>
        <v>Rogério</v>
      </c>
      <c r="I95" s="4" t="s">
        <v>16</v>
      </c>
      <c r="J95" s="5" t="str">
        <f>Transferencia!L95</f>
        <v>341.457.098-02</v>
      </c>
      <c r="K95" s="5" t="str">
        <f>Transferencia!M95</f>
        <v/>
      </c>
      <c r="L95" s="5" t="s">
        <v>94</v>
      </c>
    </row>
    <row r="96" spans="1:12" ht="15.75" customHeight="1">
      <c r="A96" s="5" t="str">
        <f>Transferencia!A96</f>
        <v>23009560</v>
      </c>
      <c r="B96" s="5" t="str">
        <f>Transferencia!B96</f>
        <v>07/02/2025</v>
      </c>
      <c r="C96" s="5" t="str">
        <f>Transferencia!C96</f>
        <v>LARA CARVALHO MIRAGAIA COSTA</v>
      </c>
      <c r="D96" s="5" t="str">
        <f>Transferencia!D96</f>
        <v>contato@squemacontabil.com.br</v>
      </c>
      <c r="E96" s="5" t="str">
        <f>Transferencia!G96</f>
        <v>5512997522141</v>
      </c>
      <c r="F96" s="5" t="str">
        <f>Transferencia!H96</f>
        <v xml:space="preserve">e-CNPJ A1 - 1 ano </v>
      </c>
      <c r="G96" s="6" t="str">
        <f>Transferencia!J96</f>
        <v>PONTO DE ATENDIMENTO AR CERTIFAST - ANDROMEDA/SP</v>
      </c>
      <c r="H96" s="4" t="str">
        <f>VLOOKUP(G96,Página1!G:L,6,0)</f>
        <v>Rogério</v>
      </c>
      <c r="I96" s="4" t="s">
        <v>16</v>
      </c>
      <c r="J96" s="5" t="str">
        <f>Transferencia!L96</f>
        <v>542.178.158-59</v>
      </c>
      <c r="K96" s="5" t="str">
        <f>Transferencia!M96</f>
        <v>48.577.259/0001-26</v>
      </c>
      <c r="L96" s="5" t="s">
        <v>94</v>
      </c>
    </row>
    <row r="97" spans="1:12" ht="15.75" customHeight="1">
      <c r="A97" s="5" t="str">
        <f>Transferencia!A97</f>
        <v>23014617</v>
      </c>
      <c r="B97" s="5" t="str">
        <f>Transferencia!B97</f>
        <v>07/02/2025</v>
      </c>
      <c r="C97" s="5" t="str">
        <f>Transferencia!C97</f>
        <v>FELIPE STEINDORF PESSOTTO</v>
      </c>
      <c r="D97" s="5" t="str">
        <f>Transferencia!D97</f>
        <v>contabilidade@afccontabilsjc.com.br</v>
      </c>
      <c r="E97" s="5" t="str">
        <f>Transferencia!G97</f>
        <v>5512981412129</v>
      </c>
      <c r="F97" s="5" t="str">
        <f>Transferencia!H97</f>
        <v xml:space="preserve">e-CNPJ A1 - PME </v>
      </c>
      <c r="G97" s="6" t="str">
        <f>Transferencia!J97</f>
        <v>PONTO DE ATENDIMENTO AR CERTIFAST - ANDROMEDA/SP</v>
      </c>
      <c r="H97" s="4" t="str">
        <f>VLOOKUP(G97,Página1!G:L,6,0)</f>
        <v>Rogério</v>
      </c>
      <c r="I97" s="4" t="s">
        <v>16</v>
      </c>
      <c r="J97" s="5" t="str">
        <f>Transferencia!L97</f>
        <v>085.287.819-25</v>
      </c>
      <c r="K97" s="5" t="str">
        <f>Transferencia!M97</f>
        <v>45.335.917/0001-85</v>
      </c>
      <c r="L97" s="5" t="s">
        <v>95</v>
      </c>
    </row>
    <row r="98" spans="1:12" ht="15.75" customHeight="1">
      <c r="A98" s="5" t="str">
        <f>Transferencia!A98</f>
        <v>23015836</v>
      </c>
      <c r="B98" s="5" t="str">
        <f>Transferencia!B98</f>
        <v>07/02/2025</v>
      </c>
      <c r="C98" s="5" t="str">
        <f>Transferencia!C98</f>
        <v>VALCEMIR AMORIM MORAIS</v>
      </c>
      <c r="D98" s="5" t="str">
        <f>Transferencia!D98</f>
        <v>coord.societario@reluzcontabil.com.br</v>
      </c>
      <c r="E98" s="5" t="str">
        <f>Transferencia!G98</f>
        <v>5511959897067</v>
      </c>
      <c r="F98" s="5" t="str">
        <f>Transferencia!H98</f>
        <v xml:space="preserve">e-CNPJ A1 - PME </v>
      </c>
      <c r="G98" s="6" t="str">
        <f>Transferencia!J98</f>
        <v>Ponto de Atendimento AR Certifast - Maua Centro/SP</v>
      </c>
      <c r="H98" s="4" t="str">
        <f>VLOOKUP(G98,Página1!G:L,6,0)</f>
        <v>Ingrid</v>
      </c>
      <c r="I98" s="4" t="s">
        <v>16</v>
      </c>
      <c r="J98" s="5" t="str">
        <f>Transferencia!L98</f>
        <v>022.551.247-50</v>
      </c>
      <c r="K98" s="5" t="str">
        <f>Transferencia!M98</f>
        <v>49.307.233/0001-20</v>
      </c>
      <c r="L98" s="5" t="s">
        <v>94</v>
      </c>
    </row>
    <row r="99" spans="1:12" ht="15.75" customHeight="1">
      <c r="A99" s="5" t="str">
        <f>Transferencia!A99</f>
        <v>23038890</v>
      </c>
      <c r="B99" s="5" t="str">
        <f>Transferencia!B99</f>
        <v>07/02/2025</v>
      </c>
      <c r="C99" s="5" t="str">
        <f>Transferencia!C99</f>
        <v>ALEX SANDRO VILAS BOAS SILVA</v>
      </c>
      <c r="D99" s="5" t="str">
        <f>Transferencia!D99</f>
        <v>vbs3istore@gmail.com</v>
      </c>
      <c r="E99" s="5" t="str">
        <f>Transferencia!G99</f>
        <v>5512988841923</v>
      </c>
      <c r="F99" s="5" t="str">
        <f>Transferencia!H99</f>
        <v xml:space="preserve">e-CNPJ A1 - PME </v>
      </c>
      <c r="G99" s="6" t="str">
        <f>Transferencia!J99</f>
        <v>PONTO DE ATENDIMENTO AR CERTIFAST - ANDROMEDA/SP</v>
      </c>
      <c r="H99" s="4" t="str">
        <f>VLOOKUP(G99,Página1!G:L,6,0)</f>
        <v>Rogério</v>
      </c>
      <c r="I99" s="4" t="s">
        <v>16</v>
      </c>
      <c r="J99" s="5" t="str">
        <f>Transferencia!L99</f>
        <v>268.381.888-21</v>
      </c>
      <c r="K99" s="5" t="str">
        <f>Transferencia!M99</f>
        <v>40.976.244/0001-29</v>
      </c>
      <c r="L99" s="5" t="s">
        <v>96</v>
      </c>
    </row>
    <row r="100" spans="1:12" ht="15.75" customHeight="1">
      <c r="A100" s="5" t="str">
        <f>Transferencia!A100</f>
        <v>23039764</v>
      </c>
      <c r="B100" s="5" t="str">
        <f>Transferencia!B100</f>
        <v>07/02/2025</v>
      </c>
      <c r="C100" s="5" t="str">
        <f>Transferencia!C100</f>
        <v>ANDRE LUIZ CALIXTO DA SILVA</v>
      </c>
      <c r="D100" s="5" t="str">
        <f>Transferencia!D100</f>
        <v>andrecalixtosilva@yahoo.com.br</v>
      </c>
      <c r="E100" s="5" t="str">
        <f>Transferencia!G100</f>
        <v>5512992326082</v>
      </c>
      <c r="F100" s="5" t="str">
        <f>Transferencia!H100</f>
        <v xml:space="preserve">e-CPF A1 - 1 ano </v>
      </c>
      <c r="G100" s="6" t="str">
        <f>Transferencia!J100</f>
        <v>Ponto de Atendimento AR Certifast - Prado BH/MG</v>
      </c>
      <c r="H100" s="4" t="str">
        <f>VLOOKUP(G100,Página1!G:L,6,0)</f>
        <v>Isabella</v>
      </c>
      <c r="I100" s="4" t="s">
        <v>16</v>
      </c>
      <c r="J100" s="5" t="str">
        <f>Transferencia!L100</f>
        <v>384.523.058-42</v>
      </c>
      <c r="K100" s="5" t="str">
        <f>Transferencia!M100</f>
        <v/>
      </c>
      <c r="L100" s="5"/>
    </row>
    <row r="101" spans="1:12" ht="15.75" customHeight="1">
      <c r="A101" s="5" t="str">
        <f>Transferencia!A101</f>
        <v>23043323</v>
      </c>
      <c r="B101" s="5" t="str">
        <f>Transferencia!B101</f>
        <v>07/02/2025</v>
      </c>
      <c r="C101" s="5" t="str">
        <f>Transferencia!C101</f>
        <v>LUIZ ROBERTO MORAES</v>
      </c>
      <c r="D101" s="5" t="str">
        <f>Transferencia!D101</f>
        <v>drogariaespacial@bol.com.br</v>
      </c>
      <c r="E101" s="5" t="str">
        <f>Transferencia!G101</f>
        <v>55</v>
      </c>
      <c r="F101" s="5" t="str">
        <f>Transferencia!H101</f>
        <v xml:space="preserve">e-CNPJ A1 - 1 ano </v>
      </c>
      <c r="G101" s="6" t="str">
        <f>Transferencia!J101</f>
        <v>Ponto de Atendimento AR Certifast - Maua Centro/SP</v>
      </c>
      <c r="H101" s="4" t="str">
        <f>VLOOKUP(G101,Página1!G:L,6,0)</f>
        <v>Ingrid</v>
      </c>
      <c r="I101" s="4" t="s">
        <v>16</v>
      </c>
      <c r="J101" s="5" t="str">
        <f>Transferencia!L101</f>
        <v>124.235.768-89</v>
      </c>
      <c r="K101" s="5" t="str">
        <f>Transferencia!M101</f>
        <v>00.628.454/0001-01</v>
      </c>
      <c r="L101" s="5" t="s">
        <v>99</v>
      </c>
    </row>
    <row r="102" spans="1:12" ht="15.75" customHeight="1">
      <c r="A102" s="5" t="str">
        <f>Transferencia!A102</f>
        <v>23046942</v>
      </c>
      <c r="B102" s="5" t="str">
        <f>Transferencia!B102</f>
        <v>07/02/2025</v>
      </c>
      <c r="C102" s="5" t="str">
        <f>Transferencia!C102</f>
        <v>FRANCISCO CARLOS MESSIAS BISPO</v>
      </c>
      <c r="D102" s="5" t="str">
        <f>Transferencia!D102</f>
        <v>fbispo@fbispo.com.br</v>
      </c>
      <c r="E102" s="5" t="str">
        <f>Transferencia!G102</f>
        <v>5511972831542</v>
      </c>
      <c r="F102" s="5" t="str">
        <f>Transferencia!H102</f>
        <v xml:space="preserve">e-CNPJ A1 - PME </v>
      </c>
      <c r="G102" s="6" t="str">
        <f>Transferencia!J102</f>
        <v>PONTO DE ATENDIMENTO AR CERTIFAST - ANDROMEDA/SP</v>
      </c>
      <c r="H102" s="4" t="str">
        <f>VLOOKUP(G102,Página1!G:L,6,0)</f>
        <v>Rogério</v>
      </c>
      <c r="I102" s="4" t="s">
        <v>16</v>
      </c>
      <c r="J102" s="5" t="str">
        <f>Transferencia!L102</f>
        <v>763.453.008-53</v>
      </c>
      <c r="K102" s="5" t="str">
        <f>Transferencia!M102</f>
        <v>11.368.920/0001-83</v>
      </c>
      <c r="L102" s="5" t="s">
        <v>100</v>
      </c>
    </row>
    <row r="103" spans="1:12" ht="15.75" customHeight="1">
      <c r="A103" s="5" t="str">
        <f>Transferencia!A103</f>
        <v>23047359</v>
      </c>
      <c r="B103" s="5" t="str">
        <f>Transferencia!B103</f>
        <v>07/02/2025</v>
      </c>
      <c r="C103" s="5" t="str">
        <f>Transferencia!C103</f>
        <v>AMANDA MARQUES CAMARGO SILVA</v>
      </c>
      <c r="D103" s="5" t="str">
        <f>Transferencia!D103</f>
        <v>betemarqus@hotmail.com</v>
      </c>
      <c r="E103" s="5" t="str">
        <f>Transferencia!G103</f>
        <v>5511961851216</v>
      </c>
      <c r="F103" s="5" t="str">
        <f>Transferencia!H103</f>
        <v xml:space="preserve">e-CNPJ A1 - 1 ano </v>
      </c>
      <c r="G103" s="6" t="str">
        <f>Transferencia!J103</f>
        <v>Ponto de Atendimento AR Certifast - Maua Centro/SP</v>
      </c>
      <c r="H103" s="4" t="str">
        <f>VLOOKUP(G103,Página1!G:L,6,0)</f>
        <v>Ingrid</v>
      </c>
      <c r="I103" s="4" t="s">
        <v>16</v>
      </c>
      <c r="J103" s="5" t="str">
        <f>Transferencia!L103</f>
        <v>325.804.478-30</v>
      </c>
      <c r="K103" s="5" t="str">
        <f>Transferencia!M103</f>
        <v>42.000.953/0001-08</v>
      </c>
      <c r="L103" s="5"/>
    </row>
    <row r="104" spans="1:12" ht="15.75" customHeight="1">
      <c r="A104" s="5" t="str">
        <f>Transferencia!A104</f>
        <v>23047993</v>
      </c>
      <c r="B104" s="5" t="str">
        <f>Transferencia!B104</f>
        <v>07/02/2025</v>
      </c>
      <c r="C104" s="5" t="str">
        <f>Transferencia!C104</f>
        <v>HUGO DIEB DE ARAUJO</v>
      </c>
      <c r="D104" s="5" t="str">
        <f>Transferencia!D104</f>
        <v>hugodieb.hd@gmail.com</v>
      </c>
      <c r="E104" s="5" t="str">
        <f>Transferencia!G104</f>
        <v>5512988681639</v>
      </c>
      <c r="F104" s="5" t="str">
        <f>Transferencia!H104</f>
        <v xml:space="preserve">e-CNPJ A1 - 1 ano </v>
      </c>
      <c r="G104" s="6" t="str">
        <f>Transferencia!J104</f>
        <v>PONTO DE ATENDIMENTO AR CERTIFAST - ANDROMEDA/SP</v>
      </c>
      <c r="H104" s="4" t="str">
        <f>VLOOKUP(G104,Página1!G:L,6,0)</f>
        <v>Rogério</v>
      </c>
      <c r="I104" s="4" t="s">
        <v>16</v>
      </c>
      <c r="J104" s="5" t="str">
        <f>Transferencia!L104</f>
        <v>247.073.088-05</v>
      </c>
      <c r="K104" s="5" t="str">
        <f>Transferencia!M104</f>
        <v>53.658.053/0001-60</v>
      </c>
      <c r="L104" s="5"/>
    </row>
    <row r="105" spans="1:12" ht="15.75" customHeight="1">
      <c r="A105" s="5" t="str">
        <f>Transferencia!A105</f>
        <v>23051201</v>
      </c>
      <c r="B105" s="5" t="str">
        <f>Transferencia!B105</f>
        <v>07/02/2025</v>
      </c>
      <c r="C105" s="5" t="str">
        <f>Transferencia!C105</f>
        <v>GISELLE APARECIDA MADEIRA DIEHL</v>
      </c>
      <c r="D105" s="5" t="str">
        <f>Transferencia!D105</f>
        <v>angelglamloja@gmail.com</v>
      </c>
      <c r="E105" s="5" t="str">
        <f>Transferencia!G105</f>
        <v>5512988790878</v>
      </c>
      <c r="F105" s="5" t="str">
        <f>Transferencia!H105</f>
        <v xml:space="preserve">e-CNPJ A1 - 1 ano </v>
      </c>
      <c r="G105" s="6" t="str">
        <f>Transferencia!J105</f>
        <v>PONTO DE ATENDIMENTO AR CERTIFAST - ANDROMEDA/SP</v>
      </c>
      <c r="H105" s="4" t="str">
        <f>VLOOKUP(G105,Página1!G:L,6,0)</f>
        <v>Rogério</v>
      </c>
      <c r="I105" s="4" t="s">
        <v>16</v>
      </c>
      <c r="J105" s="5" t="str">
        <f>Transferencia!L105</f>
        <v>509.839.558-59</v>
      </c>
      <c r="K105" s="5" t="str">
        <f>Transferencia!M105</f>
        <v>53.400.211/0001-88</v>
      </c>
      <c r="L105" s="5"/>
    </row>
    <row r="106" spans="1:12" ht="15.75" customHeight="1">
      <c r="A106" s="5" t="str">
        <f>Transferencia!A106</f>
        <v>23057717</v>
      </c>
      <c r="B106" s="5" t="str">
        <f>Transferencia!B106</f>
        <v>07/02/2025</v>
      </c>
      <c r="C106" s="5" t="str">
        <f>Transferencia!C106</f>
        <v>FLAVIO ERNESTO ALVES PEREIRA</v>
      </c>
      <c r="D106" s="5" t="str">
        <f>Transferencia!D106</f>
        <v>flavioernestoap@gmail.com</v>
      </c>
      <c r="E106" s="5" t="str">
        <f>Transferencia!G106</f>
        <v>5531991489979</v>
      </c>
      <c r="F106" s="5" t="str">
        <f>Transferencia!H106</f>
        <v xml:space="preserve">e-CNPJ A1 - PME </v>
      </c>
      <c r="G106" s="6" t="str">
        <f>Transferencia!J106</f>
        <v>Ponto de Atendimento AR Certifast - Prado BH/MG</v>
      </c>
      <c r="H106" s="4" t="str">
        <f>VLOOKUP(G106,Página1!G:L,6,0)</f>
        <v>Isabella</v>
      </c>
      <c r="I106" s="4" t="s">
        <v>16</v>
      </c>
      <c r="J106" s="5" t="str">
        <f>Transferencia!L106</f>
        <v>956.090.836-72</v>
      </c>
      <c r="K106" s="5" t="str">
        <f>Transferencia!M106</f>
        <v>03.441.504/0001-35</v>
      </c>
      <c r="L106" s="5" t="s">
        <v>102</v>
      </c>
    </row>
    <row r="107" spans="1:12" ht="15.75" customHeight="1">
      <c r="A107" s="5" t="str">
        <f>Transferencia!A107</f>
        <v>19932442</v>
      </c>
      <c r="B107" s="5" t="str">
        <f>Transferencia!B107</f>
        <v>08/02/2025</v>
      </c>
      <c r="C107" s="5" t="str">
        <f>Transferencia!C107</f>
        <v>JUCILENE APARECIDA MARTENDAL</v>
      </c>
      <c r="D107" s="5" t="str">
        <f>Transferencia!D107</f>
        <v>jucilene@cmac.sc.gov.br</v>
      </c>
      <c r="E107" s="5" t="str">
        <f>Transferencia!G107</f>
        <v>5548984126676</v>
      </c>
      <c r="F107" s="5" t="str">
        <f>Transferencia!H107</f>
        <v xml:space="preserve">e-CPF A3 - 3 anos </v>
      </c>
      <c r="G107" s="6" t="str">
        <f>Transferencia!J107</f>
        <v>AR Certifast</v>
      </c>
      <c r="H107" s="4" t="str">
        <f>VLOOKUP(G107,Página1!G:L,6,0)</f>
        <v>Alexandre</v>
      </c>
      <c r="I107" s="4" t="s">
        <v>16</v>
      </c>
      <c r="J107" s="5" t="str">
        <f>Transferencia!L107</f>
        <v>031.070.939-39</v>
      </c>
      <c r="K107" s="5" t="str">
        <f>Transferencia!M107</f>
        <v/>
      </c>
      <c r="L107" s="5" t="s">
        <v>103</v>
      </c>
    </row>
    <row r="108" spans="1:12" ht="15.75" customHeight="1">
      <c r="A108" s="5" t="str">
        <f>Transferencia!A108</f>
        <v>19967584</v>
      </c>
      <c r="B108" s="5" t="str">
        <f>Transferencia!B108</f>
        <v>08/02/2025</v>
      </c>
      <c r="C108" s="5" t="str">
        <f>Transferencia!C108</f>
        <v>VANESSA SALGUEIRO DE MELO</v>
      </c>
      <c r="D108" s="5" t="str">
        <f>Transferencia!D108</f>
        <v>vanessa.melo@tjmg.jus.br</v>
      </c>
      <c r="E108" s="5" t="str">
        <f>Transferencia!G108</f>
        <v>553534411163</v>
      </c>
      <c r="F108" s="5" t="str">
        <f>Transferencia!H108</f>
        <v xml:space="preserve">e-CPF A3 - 3 anos </v>
      </c>
      <c r="G108" s="6" t="str">
        <f>Transferencia!J108</f>
        <v>Ponto de Atendimento AR Certifast - Pauliceia/SP</v>
      </c>
      <c r="H108" s="4" t="str">
        <f>VLOOKUP(G108,Página1!G:L,6,0)</f>
        <v>Alexandre</v>
      </c>
      <c r="I108" s="4" t="s">
        <v>16</v>
      </c>
      <c r="J108" s="5" t="str">
        <f>Transferencia!L108</f>
        <v>045.126.586-61</v>
      </c>
      <c r="K108" s="5" t="str">
        <f>Transferencia!M108</f>
        <v/>
      </c>
      <c r="L108" s="5" t="s">
        <v>104</v>
      </c>
    </row>
    <row r="109" spans="1:12" ht="15.75" customHeight="1">
      <c r="A109" s="5" t="str">
        <f>Transferencia!A109</f>
        <v>20040608</v>
      </c>
      <c r="B109" s="5" t="str">
        <f>Transferencia!B109</f>
        <v>08/02/2025</v>
      </c>
      <c r="C109" s="5" t="str">
        <f>Transferencia!C109</f>
        <v>LUIGI CARLLI ARANTES BICALHO</v>
      </c>
      <c r="D109" s="5" t="str">
        <f>Transferencia!D109</f>
        <v>luigibicalho@gmail.com</v>
      </c>
      <c r="E109" s="5" t="str">
        <f>Transferencia!G109</f>
        <v>5531988490727</v>
      </c>
      <c r="F109" s="5" t="str">
        <f>Transferencia!H109</f>
        <v xml:space="preserve">e-CPF A3 - 3 anos </v>
      </c>
      <c r="G109" s="6" t="str">
        <f>Transferencia!J109</f>
        <v>Ponto de Atendimento AR Certifast - Prado BH/MG - JUS</v>
      </c>
      <c r="H109" s="4" t="str">
        <f>VLOOKUP(G109,Página1!G:L,6,0)</f>
        <v>Isabella</v>
      </c>
      <c r="I109" s="4" t="s">
        <v>16</v>
      </c>
      <c r="J109" s="5" t="str">
        <f>Transferencia!L109</f>
        <v>087.922.186-01</v>
      </c>
      <c r="K109" s="5" t="str">
        <f>Transferencia!M109</f>
        <v/>
      </c>
      <c r="L109" s="5" t="s">
        <v>105</v>
      </c>
    </row>
    <row r="110" spans="1:12" ht="15.75" customHeight="1">
      <c r="A110" s="5" t="str">
        <f>Transferencia!A110</f>
        <v>20057207</v>
      </c>
      <c r="B110" s="5" t="str">
        <f>Transferencia!B110</f>
        <v>08/02/2025</v>
      </c>
      <c r="C110" s="5" t="str">
        <f>Transferencia!C110</f>
        <v>NILO MELO</v>
      </c>
      <c r="D110" s="5" t="str">
        <f>Transferencia!D110</f>
        <v>NILOMELOENGENHARIA@GMAIL.COM</v>
      </c>
      <c r="E110" s="5" t="str">
        <f>Transferencia!G110</f>
        <v>5531987078220</v>
      </c>
      <c r="F110" s="5" t="str">
        <f>Transferencia!H110</f>
        <v xml:space="preserve">e-CNPJ A3 - 3 anos </v>
      </c>
      <c r="G110" s="6" t="str">
        <f>Transferencia!J110</f>
        <v>Ponto de Atendimento AR Certifast - Prado BH/MG</v>
      </c>
      <c r="H110" s="4" t="str">
        <f>VLOOKUP(G110,Página1!G:L,6,0)</f>
        <v>Isabella</v>
      </c>
      <c r="I110" s="4" t="s">
        <v>16</v>
      </c>
      <c r="J110" s="5" t="str">
        <f>Transferencia!L110</f>
        <v>009.945.285-58</v>
      </c>
      <c r="K110" s="5" t="str">
        <f>Transferencia!M110</f>
        <v>15.060.967/0001-36</v>
      </c>
      <c r="L110" s="5" t="s">
        <v>107</v>
      </c>
    </row>
    <row r="111" spans="1:12" ht="15.75" customHeight="1">
      <c r="A111" s="5" t="str">
        <f>Transferencia!A111</f>
        <v>22225834</v>
      </c>
      <c r="B111" s="5" t="str">
        <f>Transferencia!B111</f>
        <v>08/02/2025</v>
      </c>
      <c r="C111" s="5" t="str">
        <f>Transferencia!C111</f>
        <v>CLAITON PEREIRA DE FARIA</v>
      </c>
      <c r="D111" s="5" t="str">
        <f>Transferencia!D111</f>
        <v>jsaraiva@sigsti.com.br</v>
      </c>
      <c r="E111" s="5" t="str">
        <f>Transferencia!G111</f>
        <v>5531984368190</v>
      </c>
      <c r="F111" s="5" t="str">
        <f>Transferencia!H111</f>
        <v xml:space="preserve">e-CNPJ A1 - 1 ano </v>
      </c>
      <c r="G111" s="6" t="str">
        <f>Transferencia!J111</f>
        <v>Ponto de Atendimento AR Certifast - Prado BH/MG</v>
      </c>
      <c r="H111" s="4" t="str">
        <f>VLOOKUP(G111,Página1!G:L,6,0)</f>
        <v>Isabella</v>
      </c>
      <c r="I111" s="4" t="s">
        <v>16</v>
      </c>
      <c r="J111" s="5" t="str">
        <f>Transferencia!L111</f>
        <v>201.020.206-63</v>
      </c>
      <c r="K111" s="5" t="str">
        <f>Transferencia!M111</f>
        <v>24.409.356/0001-41</v>
      </c>
      <c r="L111" s="5" t="s">
        <v>108</v>
      </c>
    </row>
    <row r="112" spans="1:12" ht="15.75" customHeight="1">
      <c r="A112" s="5" t="str">
        <f>Transferencia!A112</f>
        <v>22305751</v>
      </c>
      <c r="B112" s="5" t="str">
        <f>Transferencia!B112</f>
        <v>08/02/2025</v>
      </c>
      <c r="C112" s="5" t="str">
        <f>Transferencia!C112</f>
        <v>ORLANDO JOSE ARMANDO FILHO</v>
      </c>
      <c r="D112" s="5" t="str">
        <f>Transferencia!D112</f>
        <v>l.a.j.r.1961@hotmail.com</v>
      </c>
      <c r="E112" s="5" t="str">
        <f>Transferencia!G112</f>
        <v>551144264537</v>
      </c>
      <c r="F112" s="5" t="str">
        <f>Transferencia!H112</f>
        <v xml:space="preserve">e-CNPJ A3 - PME - 18 meses </v>
      </c>
      <c r="G112" s="6" t="str">
        <f>Transferencia!J112</f>
        <v>PONTO DE ATENDIMENTO AR CERTIFAST - CARIJOS - STA/SP</v>
      </c>
      <c r="H112" s="4" t="str">
        <f>VLOOKUP(G112,Página1!G:L,6,0)</f>
        <v>Alexandre</v>
      </c>
      <c r="I112" s="4" t="s">
        <v>16</v>
      </c>
      <c r="J112" s="5" t="str">
        <f>Transferencia!L112</f>
        <v>048.404.128-20</v>
      </c>
      <c r="K112" s="5" t="str">
        <f>Transferencia!M112</f>
        <v>09.662.606/0001-67</v>
      </c>
      <c r="L112" s="5" t="s">
        <v>109</v>
      </c>
    </row>
    <row r="113" spans="1:12" ht="15.75" customHeight="1">
      <c r="A113" s="5" t="str">
        <f>Transferencia!A113</f>
        <v>23001021</v>
      </c>
      <c r="B113" s="5" t="str">
        <f>Transferencia!B113</f>
        <v>08/02/2025</v>
      </c>
      <c r="C113" s="5" t="str">
        <f>Transferencia!C113</f>
        <v>ALAYANA VIEIRA DE CARVALHO</v>
      </c>
      <c r="D113" s="5" t="str">
        <f>Transferencia!D113</f>
        <v>alayanav@gmail.com</v>
      </c>
      <c r="E113" s="5" t="str">
        <f>Transferencia!G113</f>
        <v>5512982971232</v>
      </c>
      <c r="F113" s="5" t="str">
        <f>Transferencia!H113</f>
        <v xml:space="preserve">e-CNPJ A1 - 1 ano </v>
      </c>
      <c r="G113" s="6" t="str">
        <f>Transferencia!J113</f>
        <v>PONTO DE ATENDIMENTO AR CERTIFAST - ANDROMEDA/SP</v>
      </c>
      <c r="H113" s="4" t="str">
        <f>VLOOKUP(G113,Página1!G:L,6,0)</f>
        <v>Rogério</v>
      </c>
      <c r="I113" s="4" t="s">
        <v>16</v>
      </c>
      <c r="J113" s="5" t="str">
        <f>Transferencia!L113</f>
        <v>275.972.398-40</v>
      </c>
      <c r="K113" s="5" t="str">
        <f>Transferencia!M113</f>
        <v>32.448.746/0001-59</v>
      </c>
      <c r="L113" s="5" t="s">
        <v>110</v>
      </c>
    </row>
    <row r="114" spans="1:12" ht="15.75" customHeight="1">
      <c r="A114" s="5" t="str">
        <f>Transferencia!A114</f>
        <v>23010074</v>
      </c>
      <c r="B114" s="5" t="str">
        <f>Transferencia!B114</f>
        <v>08/02/2025</v>
      </c>
      <c r="C114" s="5" t="str">
        <f>Transferencia!C114</f>
        <v>JUSSARA RODRIGUES CAMPOS</v>
      </c>
      <c r="D114" s="5" t="str">
        <f>Transferencia!D114</f>
        <v>financeiro@clinicacotrel.com.br</v>
      </c>
      <c r="E114" s="5" t="str">
        <f>Transferencia!G114</f>
        <v>5512981175303</v>
      </c>
      <c r="F114" s="5" t="str">
        <f>Transferencia!H114</f>
        <v xml:space="preserve">e-CNPJ A1 - 1 ano </v>
      </c>
      <c r="G114" s="6" t="str">
        <f>Transferencia!J114</f>
        <v>PONTO DE ATENDIMENTO AR CERTIFAST - ANDROMEDA/SP</v>
      </c>
      <c r="H114" s="4" t="str">
        <f>VLOOKUP(G114,Página1!G:L,6,0)</f>
        <v>Rogério</v>
      </c>
      <c r="I114" s="4" t="s">
        <v>16</v>
      </c>
      <c r="J114" s="5" t="str">
        <f>Transferencia!L114</f>
        <v>033.166.066-02</v>
      </c>
      <c r="K114" s="5" t="str">
        <f>Transferencia!M114</f>
        <v>65.058.406/0001-70</v>
      </c>
      <c r="L114" s="5" t="s">
        <v>111</v>
      </c>
    </row>
    <row r="115" spans="1:12" ht="15.75" customHeight="1">
      <c r="A115" s="5" t="str">
        <f>Transferencia!A115</f>
        <v>23013548</v>
      </c>
      <c r="B115" s="5" t="str">
        <f>Transferencia!B115</f>
        <v>08/02/2025</v>
      </c>
      <c r="C115" s="5" t="str">
        <f>Transferencia!C115</f>
        <v>MARCO TULLIO MIRAGLIA NETO</v>
      </c>
      <c r="D115" s="5" t="str">
        <f>Transferencia!D115</f>
        <v>paula.souza@cimcop.com.br</v>
      </c>
      <c r="E115" s="5" t="str">
        <f>Transferencia!G115</f>
        <v>5531992551600</v>
      </c>
      <c r="F115" s="5" t="str">
        <f>Transferencia!H115</f>
        <v xml:space="preserve">e-CNPJ A1 - 1 ano </v>
      </c>
      <c r="G115" s="6" t="str">
        <f>Transferencia!J115</f>
        <v>Ponto de Atendimento AR Certifast - Prado BH/MG</v>
      </c>
      <c r="H115" s="4" t="str">
        <f>VLOOKUP(G115,Página1!G:L,6,0)</f>
        <v>Isabella</v>
      </c>
      <c r="I115" s="4" t="s">
        <v>16</v>
      </c>
      <c r="J115" s="5" t="str">
        <f>Transferencia!L115</f>
        <v>079.540.336-43</v>
      </c>
      <c r="K115" s="5" t="str">
        <f>Transferencia!M115</f>
        <v>53.497.735/0001-39</v>
      </c>
      <c r="L115" s="5" t="s">
        <v>112</v>
      </c>
    </row>
    <row r="116" spans="1:12" ht="15.75" customHeight="1">
      <c r="A116" s="5" t="str">
        <f>Transferencia!A116</f>
        <v>23019602</v>
      </c>
      <c r="B116" s="5" t="str">
        <f>Transferencia!B116</f>
        <v>08/02/2025</v>
      </c>
      <c r="C116" s="5" t="str">
        <f>Transferencia!C116</f>
        <v>EDGARD DE ARAUJO MITRE</v>
      </c>
      <c r="D116" s="5" t="str">
        <f>Transferencia!D116</f>
        <v>financeiro@emxtecnologia.com.br</v>
      </c>
      <c r="E116" s="5" t="str">
        <f>Transferencia!G116</f>
        <v>5531984088011</v>
      </c>
      <c r="F116" s="5" t="str">
        <f>Transferencia!H116</f>
        <v xml:space="preserve">e-CNPJ A1 - PME </v>
      </c>
      <c r="G116" s="6" t="str">
        <f>Transferencia!J116</f>
        <v>Ponto de Atendimento AR Certifast - Prado BH/MG</v>
      </c>
      <c r="H116" s="4" t="str">
        <f>VLOOKUP(G116,Página1!G:L,6,0)</f>
        <v>Isabella</v>
      </c>
      <c r="I116" s="4" t="s">
        <v>16</v>
      </c>
      <c r="J116" s="5" t="str">
        <f>Transferencia!L116</f>
        <v>040.690.886-95</v>
      </c>
      <c r="K116" s="5" t="str">
        <f>Transferencia!M116</f>
        <v>32.767.186/0001-03</v>
      </c>
      <c r="L116" s="5" t="s">
        <v>113</v>
      </c>
    </row>
    <row r="117" spans="1:12" ht="15.75" customHeight="1">
      <c r="A117" s="5" t="str">
        <f>Transferencia!A117</f>
        <v>23019644</v>
      </c>
      <c r="B117" s="5" t="str">
        <f>Transferencia!B117</f>
        <v>08/02/2025</v>
      </c>
      <c r="C117" s="5" t="str">
        <f>Transferencia!C117</f>
        <v>EDGARD DE ARAUJO MITRE</v>
      </c>
      <c r="D117" s="5" t="str">
        <f>Transferencia!D117</f>
        <v>financeiro@emxtecnologia.com.br</v>
      </c>
      <c r="E117" s="5" t="str">
        <f>Transferencia!G117</f>
        <v>5531984088011</v>
      </c>
      <c r="F117" s="5" t="str">
        <f>Transferencia!H117</f>
        <v xml:space="preserve">e-CNPJ A1 - PME </v>
      </c>
      <c r="G117" s="6" t="str">
        <f>Transferencia!J117</f>
        <v>Ponto de Atendimento AR Certifast - Prado BH/MG</v>
      </c>
      <c r="H117" s="4" t="str">
        <f>VLOOKUP(G117,Página1!G:L,6,0)</f>
        <v>Isabella</v>
      </c>
      <c r="I117" s="4" t="s">
        <v>16</v>
      </c>
      <c r="J117" s="5" t="str">
        <f>Transferencia!L117</f>
        <v>040.690.886-95</v>
      </c>
      <c r="K117" s="5" t="str">
        <f>Transferencia!M117</f>
        <v>19.960.342/0001-81</v>
      </c>
      <c r="L117" s="5" t="s">
        <v>114</v>
      </c>
    </row>
    <row r="118" spans="1:12" ht="15.75" customHeight="1">
      <c r="A118" s="5" t="str">
        <f>Transferencia!A118</f>
        <v>23019668</v>
      </c>
      <c r="B118" s="5" t="str">
        <f>Transferencia!B118</f>
        <v>08/02/2025</v>
      </c>
      <c r="C118" s="5" t="str">
        <f>Transferencia!C118</f>
        <v>EDGARD DE ARAUJO MITRE</v>
      </c>
      <c r="D118" s="5" t="str">
        <f>Transferencia!D118</f>
        <v>financeiro@emxtecnologia.com.br</v>
      </c>
      <c r="E118" s="5" t="str">
        <f>Transferencia!G118</f>
        <v>5531984088011</v>
      </c>
      <c r="F118" s="5" t="str">
        <f>Transferencia!H118</f>
        <v xml:space="preserve">e-CNPJ A1 - PME </v>
      </c>
      <c r="G118" s="6" t="str">
        <f>Transferencia!J118</f>
        <v>Ponto de Atendimento AR Certifast - Prado BH/MG</v>
      </c>
      <c r="H118" s="4" t="str">
        <f>VLOOKUP(G118,Página1!G:L,6,0)</f>
        <v>Isabella</v>
      </c>
      <c r="I118" s="4" t="s">
        <v>16</v>
      </c>
      <c r="J118" s="5" t="str">
        <f>Transferencia!L118</f>
        <v>040.690.886-95</v>
      </c>
      <c r="K118" s="5" t="str">
        <f>Transferencia!M118</f>
        <v>14.822.303/0001-02</v>
      </c>
      <c r="L118" s="5" t="s">
        <v>115</v>
      </c>
    </row>
    <row r="119" spans="1:12" ht="15.75" customHeight="1">
      <c r="A119" s="5" t="str">
        <f>Transferencia!A119</f>
        <v>23027735</v>
      </c>
      <c r="B119" s="5" t="str">
        <f>Transferencia!B119</f>
        <v>08/02/2025</v>
      </c>
      <c r="C119" s="5" t="str">
        <f>Transferencia!C119</f>
        <v>JULIANA RESENDE DE SOUZA</v>
      </c>
      <c r="D119" s="5" t="str">
        <f>Transferencia!D119</f>
        <v>coord.societario@reluzcontabil.com.br</v>
      </c>
      <c r="E119" s="5" t="str">
        <f>Transferencia!G119</f>
        <v>5511966060653</v>
      </c>
      <c r="F119" s="5" t="str">
        <f>Transferencia!H119</f>
        <v xml:space="preserve">e-CNPJ A1 - PME </v>
      </c>
      <c r="G119" s="6" t="str">
        <f>Transferencia!J119</f>
        <v>Ponto de Atendimento AR Certifast - Maua Centro/SP</v>
      </c>
      <c r="H119" s="4" t="str">
        <f>VLOOKUP(G119,Página1!G:L,6,0)</f>
        <v>Ingrid</v>
      </c>
      <c r="I119" s="4" t="s">
        <v>16</v>
      </c>
      <c r="J119" s="5" t="str">
        <f>Transferencia!L119</f>
        <v>424.075.578-67</v>
      </c>
      <c r="K119" s="5" t="str">
        <f>Transferencia!M119</f>
        <v>53.501.978/0001-01</v>
      </c>
      <c r="L119" s="5" t="s">
        <v>116</v>
      </c>
    </row>
    <row r="120" spans="1:12" ht="15.75" customHeight="1">
      <c r="A120" s="5" t="str">
        <f>Transferencia!A120</f>
        <v>23029798</v>
      </c>
      <c r="B120" s="5" t="str">
        <f>Transferencia!B120</f>
        <v>08/02/2025</v>
      </c>
      <c r="C120" s="5" t="str">
        <f>Transferencia!C120</f>
        <v>CLEBER GONZALES DE OLIVEIRA</v>
      </c>
      <c r="D120" s="5" t="str">
        <f>Transferencia!D120</f>
        <v>cleber.oliveira@ieee.org</v>
      </c>
      <c r="E120" s="5" t="str">
        <f>Transferencia!G120</f>
        <v>5512991797672</v>
      </c>
      <c r="F120" s="5" t="str">
        <f>Transferencia!H120</f>
        <v xml:space="preserve">e-CNPJ A1 - PME </v>
      </c>
      <c r="G120" s="6" t="str">
        <f>Transferencia!J120</f>
        <v>PONTO DE ATENDIMENTO AR CERTIFAST - ANDROMEDA/SP</v>
      </c>
      <c r="H120" s="4" t="str">
        <f>VLOOKUP(G120,Página1!G:L,6,0)</f>
        <v>Rogério</v>
      </c>
      <c r="I120" s="4" t="s">
        <v>16</v>
      </c>
      <c r="J120" s="5" t="str">
        <f>Transferencia!L120</f>
        <v>466.239.301-91</v>
      </c>
      <c r="K120" s="5" t="str">
        <f>Transferencia!M120</f>
        <v>07.056.619/0001-67</v>
      </c>
      <c r="L120" s="5"/>
    </row>
    <row r="121" spans="1:12" ht="15.75" customHeight="1">
      <c r="A121" s="5" t="str">
        <f>Transferencia!A121</f>
        <v>23031264</v>
      </c>
      <c r="B121" s="5" t="str">
        <f>Transferencia!B121</f>
        <v>08/02/2025</v>
      </c>
      <c r="C121" s="5" t="str">
        <f>Transferencia!C121</f>
        <v>FABIANA MENDES VIEIRA</v>
      </c>
      <c r="D121" s="5" t="str">
        <f>Transferencia!D121</f>
        <v>contabilidade@oticasolarium.com.br</v>
      </c>
      <c r="E121" s="5" t="str">
        <f>Transferencia!G121</f>
        <v>55</v>
      </c>
      <c r="F121" s="5" t="str">
        <f>Transferencia!H121</f>
        <v xml:space="preserve">e-CNPJ A1 - 1 ano </v>
      </c>
      <c r="G121" s="6" t="str">
        <f>Transferencia!J121</f>
        <v>Ponto de Atendimento AR Certifast - Maua Centro/SP</v>
      </c>
      <c r="H121" s="4" t="str">
        <f>VLOOKUP(G121,Página1!G:L,6,0)</f>
        <v>Ingrid</v>
      </c>
      <c r="I121" s="4" t="s">
        <v>16</v>
      </c>
      <c r="J121" s="5" t="str">
        <f>Transferencia!L121</f>
        <v>252.493.308-35</v>
      </c>
      <c r="K121" s="5" t="str">
        <f>Transferencia!M121</f>
        <v>45.129.358/0001-57</v>
      </c>
      <c r="L121" s="5" t="s">
        <v>117</v>
      </c>
    </row>
    <row r="122" spans="1:12" ht="15.75" customHeight="1">
      <c r="A122" s="5" t="str">
        <f>Transferencia!A122</f>
        <v>23035587</v>
      </c>
      <c r="B122" s="5" t="str">
        <f>Transferencia!B122</f>
        <v>08/02/2025</v>
      </c>
      <c r="C122" s="5" t="str">
        <f>Transferencia!C122</f>
        <v>WALDENE MARIA ROSSI GONCALVES</v>
      </c>
      <c r="D122" s="5" t="str">
        <f>Transferencia!D122</f>
        <v>adm@unikaconstrutora.com.br</v>
      </c>
      <c r="E122" s="5" t="str">
        <f>Transferencia!G122</f>
        <v>5512981718497</v>
      </c>
      <c r="F122" s="5" t="str">
        <f>Transferencia!H122</f>
        <v xml:space="preserve">e-CNPJ A1 - PME </v>
      </c>
      <c r="G122" s="6" t="str">
        <f>Transferencia!J122</f>
        <v>PONTO DE ATENDIMENTO AR CERTIFAST - ANDROMEDA/SP</v>
      </c>
      <c r="H122" s="4" t="str">
        <f>VLOOKUP(G122,Página1!G:L,6,0)</f>
        <v>Rogério</v>
      </c>
      <c r="I122" s="4" t="s">
        <v>16</v>
      </c>
      <c r="J122" s="5" t="str">
        <f>Transferencia!L122</f>
        <v>057.896.098-21</v>
      </c>
      <c r="K122" s="5" t="str">
        <f>Transferencia!M122</f>
        <v>13.099.245/0001-60</v>
      </c>
      <c r="L122" s="5" t="s">
        <v>118</v>
      </c>
    </row>
    <row r="123" spans="1:12" ht="15.75" customHeight="1">
      <c r="A123" s="5" t="str">
        <f>Transferencia!A123</f>
        <v>23036013</v>
      </c>
      <c r="B123" s="5" t="str">
        <f>Transferencia!B123</f>
        <v>08/02/2025</v>
      </c>
      <c r="C123" s="5" t="str">
        <f>Transferencia!C123</f>
        <v>CLAUDIA MAMMOCCIO</v>
      </c>
      <c r="D123" s="5" t="str">
        <f>Transferencia!D123</f>
        <v>jh.contabilidade@hotmail.com</v>
      </c>
      <c r="E123" s="5" t="str">
        <f>Transferencia!G123</f>
        <v>5511953301244</v>
      </c>
      <c r="F123" s="5" t="str">
        <f>Transferencia!H123</f>
        <v xml:space="preserve">e-CNPJ A1 - PME </v>
      </c>
      <c r="G123" s="6" t="str">
        <f>Transferencia!J123</f>
        <v>PONTO DE ATENDIMENTO AR CERTIFAST - ANDROMEDA/SP</v>
      </c>
      <c r="H123" s="4" t="str">
        <f>VLOOKUP(G123,Página1!G:L,6,0)</f>
        <v>Rogério</v>
      </c>
      <c r="I123" s="4" t="s">
        <v>16</v>
      </c>
      <c r="J123" s="5" t="str">
        <f>Transferencia!L123</f>
        <v>129.895.138-09</v>
      </c>
      <c r="K123" s="5" t="str">
        <f>Transferencia!M123</f>
        <v>18.295.440/0001-89</v>
      </c>
      <c r="L123" s="5"/>
    </row>
    <row r="124" spans="1:12" ht="15.75" customHeight="1">
      <c r="A124" s="5" t="str">
        <f>Transferencia!A124</f>
        <v>23036082</v>
      </c>
      <c r="B124" s="5" t="str">
        <f>Transferencia!B124</f>
        <v>08/02/2025</v>
      </c>
      <c r="C124" s="5" t="str">
        <f>Transferencia!C124</f>
        <v>JOSERCKIANA OLIVEIRA CORDEIRO</v>
      </c>
      <c r="D124" s="5" t="str">
        <f>Transferencia!D124</f>
        <v>jh.contabilidade@hotmail.com</v>
      </c>
      <c r="E124" s="5" t="str">
        <f>Transferencia!G124</f>
        <v>5511963425246</v>
      </c>
      <c r="F124" s="5" t="str">
        <f>Transferencia!H124</f>
        <v xml:space="preserve">e-CNPJ A1 - PME </v>
      </c>
      <c r="G124" s="6" t="str">
        <f>Transferencia!J124</f>
        <v>PONTO DE ATENDIMENTO AR CERTIFAST - ANDROMEDA/SP</v>
      </c>
      <c r="H124" s="4" t="str">
        <f>VLOOKUP(G124,Página1!G:L,6,0)</f>
        <v>Rogério</v>
      </c>
      <c r="I124" s="4" t="s">
        <v>16</v>
      </c>
      <c r="J124" s="5" t="str">
        <f>Transferencia!L124</f>
        <v>418.317.563-15</v>
      </c>
      <c r="K124" s="5" t="str">
        <f>Transferencia!M124</f>
        <v>21.248.787/0001-85</v>
      </c>
      <c r="L124" s="5" t="s">
        <v>119</v>
      </c>
    </row>
    <row r="125" spans="1:12" ht="15.75" customHeight="1">
      <c r="A125" s="5" t="str">
        <f>Transferencia!A125</f>
        <v>23036130</v>
      </c>
      <c r="B125" s="5" t="str">
        <f>Transferencia!B125</f>
        <v>08/02/2025</v>
      </c>
      <c r="C125" s="5" t="str">
        <f>Transferencia!C125</f>
        <v>JOSERCKIANA OLIVEIRA CORDEIRO</v>
      </c>
      <c r="D125" s="5" t="str">
        <f>Transferencia!D125</f>
        <v>jh.contabilidade@hotmail.com</v>
      </c>
      <c r="E125" s="5" t="str">
        <f>Transferencia!G125</f>
        <v>5511963425246</v>
      </c>
      <c r="F125" s="5" t="str">
        <f>Transferencia!H125</f>
        <v xml:space="preserve">e-CNPJ A1 - PME </v>
      </c>
      <c r="G125" s="6" t="str">
        <f>Transferencia!J125</f>
        <v>PONTO DE ATENDIMENTO AR CERTIFAST - ANDROMEDA/SP</v>
      </c>
      <c r="H125" s="4" t="str">
        <f>VLOOKUP(G125,Página1!G:L,6,0)</f>
        <v>Rogério</v>
      </c>
      <c r="I125" s="4" t="s">
        <v>16</v>
      </c>
      <c r="J125" s="5" t="str">
        <f>Transferencia!L125</f>
        <v>418.317.563-15</v>
      </c>
      <c r="K125" s="5" t="str">
        <f>Transferencia!M125</f>
        <v>19.774.072/0001-14</v>
      </c>
      <c r="L125" s="5" t="s">
        <v>120</v>
      </c>
    </row>
    <row r="126" spans="1:12" ht="15.75" customHeight="1">
      <c r="A126" s="5" t="str">
        <f>Transferencia!A126</f>
        <v>23039978</v>
      </c>
      <c r="B126" s="5" t="str">
        <f>Transferencia!B126</f>
        <v>08/02/2025</v>
      </c>
      <c r="C126" s="5" t="str">
        <f>Transferencia!C126</f>
        <v>SUZANA MARIA DE SOUZA VIEIRA</v>
      </c>
      <c r="D126" s="5" t="str">
        <f>Transferencia!D126</f>
        <v>contato@drasuzanavieira.med.br</v>
      </c>
      <c r="E126" s="5" t="str">
        <f>Transferencia!G126</f>
        <v>5511970812141</v>
      </c>
      <c r="F126" s="5" t="str">
        <f>Transferencia!H126</f>
        <v xml:space="preserve">e-CPF A1 - 1 ano </v>
      </c>
      <c r="G126" s="6" t="str">
        <f>Transferencia!J126</f>
        <v>PONTO DE ATENDIMENTO AR CERTIFAST - CARIJOS - STA/SP</v>
      </c>
      <c r="H126" s="4" t="str">
        <f>VLOOKUP(G126,Página1!G:L,6,0)</f>
        <v>Alexandre</v>
      </c>
      <c r="I126" s="4" t="s">
        <v>16</v>
      </c>
      <c r="J126" s="5" t="str">
        <f>Transferencia!L126</f>
        <v>887.696.824-53</v>
      </c>
      <c r="K126" s="5" t="str">
        <f>Transferencia!M126</f>
        <v/>
      </c>
      <c r="L126" s="5" t="s">
        <v>121</v>
      </c>
    </row>
    <row r="127" spans="1:12" ht="15.75" customHeight="1">
      <c r="A127" s="5" t="str">
        <f>Transferencia!A127</f>
        <v>23040793</v>
      </c>
      <c r="B127" s="5" t="str">
        <f>Transferencia!B127</f>
        <v>08/02/2025</v>
      </c>
      <c r="C127" s="5" t="str">
        <f>Transferencia!C127</f>
        <v>CARLOS ALBERTO MOYA</v>
      </c>
      <c r="D127" s="5" t="str">
        <f>Transferencia!D127</f>
        <v>contabilidade@moyacontabil.com.br</v>
      </c>
      <c r="E127" s="5" t="str">
        <f>Transferencia!G127</f>
        <v>55</v>
      </c>
      <c r="F127" s="5" t="str">
        <f>Transferencia!H127</f>
        <v xml:space="preserve">e-CNPJ A1 - PME </v>
      </c>
      <c r="G127" s="6" t="str">
        <f>Transferencia!J127</f>
        <v>Ponto de Atendimento AR Certifast - Maua Centro/SP</v>
      </c>
      <c r="H127" s="4" t="str">
        <f>VLOOKUP(G127,Página1!G:L,6,0)</f>
        <v>Ingrid</v>
      </c>
      <c r="I127" s="4" t="s">
        <v>16</v>
      </c>
      <c r="J127" s="5" t="str">
        <f>Transferencia!L127</f>
        <v>767.470.858-68</v>
      </c>
      <c r="K127" s="5" t="str">
        <f>Transferencia!M127</f>
        <v>44.967.296/0001-90</v>
      </c>
      <c r="L127" s="5" t="s">
        <v>122</v>
      </c>
    </row>
    <row r="128" spans="1:12" ht="15.75" customHeight="1">
      <c r="A128" s="5" t="str">
        <f>Transferencia!A128</f>
        <v>23041271</v>
      </c>
      <c r="B128" s="5" t="str">
        <f>Transferencia!B128</f>
        <v>08/02/2025</v>
      </c>
      <c r="C128" s="5" t="str">
        <f>Transferencia!C128</f>
        <v>VINICIUS SOARES DA SILVA</v>
      </c>
      <c r="D128" s="5" t="str">
        <f>Transferencia!D128</f>
        <v>contabilidade@moyacontabil.com.br</v>
      </c>
      <c r="E128" s="5" t="str">
        <f>Transferencia!G128</f>
        <v>5511991450920</v>
      </c>
      <c r="F128" s="5" t="str">
        <f>Transferencia!H128</f>
        <v xml:space="preserve">e-CNPJ A1 - PME </v>
      </c>
      <c r="G128" s="6" t="str">
        <f>Transferencia!J128</f>
        <v>AR Certifast</v>
      </c>
      <c r="H128" s="4" t="str">
        <f>VLOOKUP(G128,Página1!G:L,6,0)</f>
        <v>Alexandre</v>
      </c>
      <c r="I128" s="4" t="s">
        <v>16</v>
      </c>
      <c r="J128" s="5" t="str">
        <f>Transferencia!L128</f>
        <v>350.744.658-85</v>
      </c>
      <c r="K128" s="5" t="str">
        <f>Transferencia!M128</f>
        <v>29.579.426/0001-23</v>
      </c>
      <c r="L128" s="5" t="s">
        <v>123</v>
      </c>
    </row>
    <row r="129" spans="1:12" ht="15.75" customHeight="1">
      <c r="A129" s="5" t="str">
        <f>Transferencia!A129</f>
        <v>23041583</v>
      </c>
      <c r="B129" s="5" t="str">
        <f>Transferencia!B129</f>
        <v>08/02/2025</v>
      </c>
      <c r="C129" s="5" t="str">
        <f>Transferencia!C129</f>
        <v>KELLY CRISTINA AMARAL</v>
      </c>
      <c r="D129" s="5" t="str">
        <f>Transferencia!D129</f>
        <v>kelly.amaral@asg.com</v>
      </c>
      <c r="E129" s="5" t="str">
        <f>Transferencia!G129</f>
        <v>55</v>
      </c>
      <c r="F129" s="5" t="str">
        <f>Transferencia!H129</f>
        <v xml:space="preserve">e-CNPJ A1 - 1 ano </v>
      </c>
      <c r="G129" s="6" t="str">
        <f>Transferencia!J129</f>
        <v>Ponto de Atendimento AR Certifast - Maua Centro/SP</v>
      </c>
      <c r="H129" s="4" t="str">
        <f>VLOOKUP(G129,Página1!G:L,6,0)</f>
        <v>Ingrid</v>
      </c>
      <c r="I129" s="4" t="s">
        <v>16</v>
      </c>
      <c r="J129" s="5" t="str">
        <f>Transferencia!L129</f>
        <v>185.215.808-51</v>
      </c>
      <c r="K129" s="5" t="str">
        <f>Transferencia!M129</f>
        <v>04.010.181/0001-98</v>
      </c>
      <c r="L129" s="5" t="s">
        <v>124</v>
      </c>
    </row>
    <row r="130" spans="1:12" ht="15.75" customHeight="1">
      <c r="A130" s="5" t="str">
        <f>Transferencia!A130</f>
        <v>23041710</v>
      </c>
      <c r="B130" s="5" t="str">
        <f>Transferencia!B130</f>
        <v>08/02/2025</v>
      </c>
      <c r="C130" s="5" t="str">
        <f>Transferencia!C130</f>
        <v>RICARDO RIBEIRO VALENTE</v>
      </c>
      <c r="D130" s="5" t="str">
        <f>Transferencia!D130</f>
        <v>ricardorrv.bh@gmail.com</v>
      </c>
      <c r="E130" s="5" t="str">
        <f>Transferencia!G130</f>
        <v>5531999723851</v>
      </c>
      <c r="F130" s="5" t="str">
        <f>Transferencia!H130</f>
        <v xml:space="preserve">e-CNPJ A1 - 1 ano </v>
      </c>
      <c r="G130" s="6" t="str">
        <f>Transferencia!J130</f>
        <v>Ponto de Atendimento AR Certifast - Prado BH/MG</v>
      </c>
      <c r="H130" s="4" t="str">
        <f>VLOOKUP(G130,Página1!G:L,6,0)</f>
        <v>Isabella</v>
      </c>
      <c r="I130" s="4" t="s">
        <v>16</v>
      </c>
      <c r="J130" s="5" t="str">
        <f>Transferencia!L130</f>
        <v>354.760.446-04</v>
      </c>
      <c r="K130" s="5" t="str">
        <f>Transferencia!M130</f>
        <v>23.853.682/0001-80</v>
      </c>
      <c r="L130" s="5" t="s">
        <v>125</v>
      </c>
    </row>
    <row r="131" spans="1:12" ht="15.75" customHeight="1">
      <c r="A131" s="5" t="str">
        <f>Transferencia!A131</f>
        <v>23044085</v>
      </c>
      <c r="B131" s="5" t="str">
        <f>Transferencia!B131</f>
        <v>08/02/2025</v>
      </c>
      <c r="C131" s="5" t="str">
        <f>Transferencia!C131</f>
        <v>RHAMON AUGUSTO DE OLIVEIRA</v>
      </c>
      <c r="D131" s="5" t="str">
        <f>Transferencia!D131</f>
        <v>jh.contabilidade@hotmail.com</v>
      </c>
      <c r="E131" s="5" t="str">
        <f>Transferencia!G131</f>
        <v>5527997246467</v>
      </c>
      <c r="F131" s="5" t="str">
        <f>Transferencia!H131</f>
        <v xml:space="preserve">e-CNPJ A1 - 1 ano </v>
      </c>
      <c r="G131" s="6" t="str">
        <f>Transferencia!J131</f>
        <v>PONTO DE ATENDIMENTO AR CERTIFAST - ANDROMEDA/SP</v>
      </c>
      <c r="H131" s="4" t="str">
        <f>VLOOKUP(G131,Página1!G:L,6,0)</f>
        <v>Rogério</v>
      </c>
      <c r="I131" s="4" t="s">
        <v>16</v>
      </c>
      <c r="J131" s="5" t="str">
        <f>Transferencia!L131</f>
        <v>085.084.906-31</v>
      </c>
      <c r="K131" s="5" t="str">
        <f>Transferencia!M131</f>
        <v>26.522.054/0001-00</v>
      </c>
      <c r="L131" s="5"/>
    </row>
    <row r="132" spans="1:12" ht="15.75" customHeight="1">
      <c r="A132" s="5" t="str">
        <f>Transferencia!A132</f>
        <v>23048357</v>
      </c>
      <c r="B132" s="5" t="str">
        <f>Transferencia!B132</f>
        <v>08/02/2025</v>
      </c>
      <c r="C132" s="5" t="str">
        <f>Transferencia!C132</f>
        <v>WILLIAN VICENTE SANTIAGO</v>
      </c>
      <c r="D132" s="5" t="str">
        <f>Transferencia!D132</f>
        <v>wwdivisorias@gmail.com</v>
      </c>
      <c r="E132" s="5" t="str">
        <f>Transferencia!G132</f>
        <v>5511994528826</v>
      </c>
      <c r="F132" s="5" t="str">
        <f>Transferencia!H132</f>
        <v xml:space="preserve">e-CNPJ A1 - PME </v>
      </c>
      <c r="G132" s="6" t="str">
        <f>Transferencia!J132</f>
        <v>PONTO DE ATENDIMENTO AR CERTIFAST - ANDROMEDA/SP</v>
      </c>
      <c r="H132" s="4" t="str">
        <f>VLOOKUP(G132,Página1!G:L,6,0)</f>
        <v>Rogério</v>
      </c>
      <c r="I132" s="4" t="s">
        <v>16</v>
      </c>
      <c r="J132" s="5" t="str">
        <f>Transferencia!L132</f>
        <v>376.334.898-04</v>
      </c>
      <c r="K132" s="5" t="str">
        <f>Transferencia!M132</f>
        <v>29.731.786/0001-07</v>
      </c>
      <c r="L132" s="5"/>
    </row>
    <row r="133" spans="1:12" ht="15.75" customHeight="1">
      <c r="A133" s="5" t="str">
        <f>Transferencia!A133</f>
        <v>23054952</v>
      </c>
      <c r="B133" s="5" t="str">
        <f>Transferencia!B133</f>
        <v>08/02/2025</v>
      </c>
      <c r="C133" s="5" t="str">
        <f>Transferencia!C133</f>
        <v>ADRIANO DO NASCIMENTO RANEIA FONSECA</v>
      </c>
      <c r="D133" s="5" t="str">
        <f>Transferencia!D133</f>
        <v>coord.societario@reluzcontabil.com.br</v>
      </c>
      <c r="E133" s="5" t="str">
        <f>Transferencia!G133</f>
        <v>5511940841453</v>
      </c>
      <c r="F133" s="5" t="str">
        <f>Transferencia!H133</f>
        <v xml:space="preserve">e-CNPJ A1 - PME </v>
      </c>
      <c r="G133" s="6" t="str">
        <f>Transferencia!J133</f>
        <v>Ponto de Atendimento AR Certifast - Maua Centro/SP</v>
      </c>
      <c r="H133" s="4" t="str">
        <f>VLOOKUP(G133,Página1!G:L,6,0)</f>
        <v>Ingrid</v>
      </c>
      <c r="I133" s="4" t="s">
        <v>16</v>
      </c>
      <c r="J133" s="5" t="str">
        <f>Transferencia!L133</f>
        <v>335.636.288-74</v>
      </c>
      <c r="K133" s="5" t="str">
        <f>Transferencia!M133</f>
        <v>20.765.215/0001-00</v>
      </c>
      <c r="L133" s="5"/>
    </row>
    <row r="134" spans="1:12" ht="15.75" customHeight="1">
      <c r="A134" s="5" t="str">
        <f>Transferencia!A134</f>
        <v>23056528</v>
      </c>
      <c r="B134" s="5" t="str">
        <f>Transferencia!B134</f>
        <v>08/02/2025</v>
      </c>
      <c r="C134" s="5" t="str">
        <f>Transferencia!C134</f>
        <v>MARCELO BEZERRA DE ANDRADE DA MOTA</v>
      </c>
      <c r="D134" s="5" t="str">
        <f>Transferencia!D134</f>
        <v>assantoscontabil@gmail.com</v>
      </c>
      <c r="E134" s="5" t="str">
        <f>Transferencia!G134</f>
        <v>5512974040295</v>
      </c>
      <c r="F134" s="5" t="str">
        <f>Transferencia!H134</f>
        <v xml:space="preserve">e-CNPJ A1 - PME </v>
      </c>
      <c r="G134" s="6" t="str">
        <f>Transferencia!J134</f>
        <v>PONTO DE ATENDIMENTO AR CERTIFAST - ANDROMEDA/SP</v>
      </c>
      <c r="H134" s="4" t="str">
        <f>VLOOKUP(G134,Página1!G:L,6,0)</f>
        <v>Rogério</v>
      </c>
      <c r="I134" s="4" t="s">
        <v>16</v>
      </c>
      <c r="J134" s="5" t="str">
        <f>Transferencia!L134</f>
        <v>268.319.678-41</v>
      </c>
      <c r="K134" s="5" t="str">
        <f>Transferencia!M134</f>
        <v>07.670.437/0001-81</v>
      </c>
      <c r="L134" s="5"/>
    </row>
    <row r="135" spans="1:12" ht="15.75" customHeight="1">
      <c r="A135" s="5" t="str">
        <f>Transferencia!A135</f>
        <v>23056720</v>
      </c>
      <c r="B135" s="5" t="str">
        <f>Transferencia!B135</f>
        <v>08/02/2025</v>
      </c>
      <c r="C135" s="5" t="str">
        <f>Transferencia!C135</f>
        <v>DENILSON CORREIA DE FRANCA</v>
      </c>
      <c r="D135" s="5" t="str">
        <f>Transferencia!D135</f>
        <v>coord.societario@reluzcontabil.com.br</v>
      </c>
      <c r="E135" s="5" t="str">
        <f>Transferencia!G135</f>
        <v>5511967072655</v>
      </c>
      <c r="F135" s="5" t="str">
        <f>Transferencia!H135</f>
        <v xml:space="preserve">e-CNPJ A1 - PME </v>
      </c>
      <c r="G135" s="6" t="str">
        <f>Transferencia!J135</f>
        <v>Ponto de Atendimento AR Certifast - Maua Centro/SP</v>
      </c>
      <c r="H135" s="4" t="str">
        <f>VLOOKUP(G135,Página1!G:L,6,0)</f>
        <v>Ingrid</v>
      </c>
      <c r="I135" s="4" t="s">
        <v>16</v>
      </c>
      <c r="J135" s="5" t="str">
        <f>Transferencia!L135</f>
        <v>099.427.338-09</v>
      </c>
      <c r="K135" s="5" t="str">
        <f>Transferencia!M135</f>
        <v>55.058.432/0001-45</v>
      </c>
      <c r="L135" s="5" t="s">
        <v>127</v>
      </c>
    </row>
    <row r="136" spans="1:12" ht="15.75" customHeight="1">
      <c r="A136" s="5" t="str">
        <f>Transferencia!A136</f>
        <v>23059482</v>
      </c>
      <c r="B136" s="5" t="str">
        <f>Transferencia!B136</f>
        <v>08/02/2025</v>
      </c>
      <c r="C136" s="5" t="str">
        <f>Transferencia!C136</f>
        <v>FABIO JOSE CABRAL DE LIRA</v>
      </c>
      <c r="D136" s="5" t="str">
        <f>Transferencia!D136</f>
        <v>adm@tavaresdelira.com.br</v>
      </c>
      <c r="E136" s="5" t="str">
        <f>Transferencia!G136</f>
        <v>5512981419267</v>
      </c>
      <c r="F136" s="5" t="str">
        <f>Transferencia!H136</f>
        <v>e-CNPJ A1 Mercado Livre</v>
      </c>
      <c r="G136" s="6" t="str">
        <f>Transferencia!J136</f>
        <v>PONTO DE ATENDIMENTO AR CERTIFAST - ANDROMEDA/SP</v>
      </c>
      <c r="H136" s="4" t="str">
        <f>VLOOKUP(G136,Página1!G:L,6,0)</f>
        <v>Rogério</v>
      </c>
      <c r="I136" s="4" t="s">
        <v>16</v>
      </c>
      <c r="J136" s="5" t="str">
        <f>Transferencia!L136</f>
        <v>052.733.258-54</v>
      </c>
      <c r="K136" s="5" t="str">
        <f>Transferencia!M136</f>
        <v>05.168.624/0001-36</v>
      </c>
      <c r="L136" s="5" t="s">
        <v>128</v>
      </c>
    </row>
    <row r="137" spans="1:12" ht="15.75" customHeight="1">
      <c r="A137" s="5" t="str">
        <f>Transferencia!A137</f>
        <v>23060139</v>
      </c>
      <c r="B137" s="5" t="str">
        <f>Transferencia!B137</f>
        <v>08/02/2025</v>
      </c>
      <c r="C137" s="5" t="str">
        <f>Transferencia!C137</f>
        <v>RYAN MARTINS CHAGAS</v>
      </c>
      <c r="D137" s="5" t="str">
        <f>Transferencia!D137</f>
        <v>bidiansouza2012@gmail.com</v>
      </c>
      <c r="E137" s="5" t="str">
        <f>Transferencia!G137</f>
        <v>5512996800176</v>
      </c>
      <c r="F137" s="5" t="str">
        <f>Transferencia!H137</f>
        <v xml:space="preserve">e-CPF A1 - 1 ano </v>
      </c>
      <c r="G137" s="6" t="str">
        <f>Transferencia!J137</f>
        <v>PONTO DE ATENDIMENTO AR CERTIFAST - ANDROMEDA/SP</v>
      </c>
      <c r="H137" s="4" t="str">
        <f>VLOOKUP(G137,Página1!G:L,6,0)</f>
        <v>Rogério</v>
      </c>
      <c r="I137" s="4" t="s">
        <v>16</v>
      </c>
      <c r="J137" s="5" t="str">
        <f>Transferencia!L137</f>
        <v>468.168.028-10</v>
      </c>
      <c r="K137" s="5" t="str">
        <f>Transferencia!M137</f>
        <v/>
      </c>
      <c r="L137" s="5" t="s">
        <v>130</v>
      </c>
    </row>
    <row r="138" spans="1:12" ht="15.75" customHeight="1">
      <c r="A138" s="5" t="str">
        <f>Transferencia!A138</f>
        <v>23060503</v>
      </c>
      <c r="B138" s="5" t="str">
        <f>Transferencia!B138</f>
        <v>08/02/2025</v>
      </c>
      <c r="C138" s="5" t="str">
        <f>Transferencia!C138</f>
        <v>MANUELLA GIULIA BOSCHETTI ROSATTI</v>
      </c>
      <c r="D138" s="5" t="str">
        <f>Transferencia!D138</f>
        <v>godonutsjc@gmail.com</v>
      </c>
      <c r="E138" s="5" t="str">
        <f>Transferencia!G138</f>
        <v>5512981904601</v>
      </c>
      <c r="F138" s="5" t="str">
        <f>Transferencia!H138</f>
        <v xml:space="preserve">e-CNPJ A1 - PME </v>
      </c>
      <c r="G138" s="6" t="str">
        <f>Transferencia!J138</f>
        <v>PONTO DE ATENDIMENTO AR CERTIFAST - ANDROMEDA/SP</v>
      </c>
      <c r="H138" s="4" t="str">
        <f>VLOOKUP(G138,Página1!G:L,6,0)</f>
        <v>Rogério</v>
      </c>
      <c r="I138" s="4" t="s">
        <v>16</v>
      </c>
      <c r="J138" s="5" t="str">
        <f>Transferencia!L138</f>
        <v>472.073.048-54</v>
      </c>
      <c r="K138" s="5" t="str">
        <f>Transferencia!M138</f>
        <v>52.222.446/0001-64</v>
      </c>
      <c r="L138" s="5" t="s">
        <v>131</v>
      </c>
    </row>
    <row r="139" spans="1:12" ht="15.75" customHeight="1">
      <c r="A139" s="5" t="str">
        <f>Transferencia!A139</f>
        <v>23062184</v>
      </c>
      <c r="B139" s="5" t="str">
        <f>Transferencia!B139</f>
        <v>08/02/2025</v>
      </c>
      <c r="C139" s="5" t="str">
        <f>Transferencia!C139</f>
        <v>FABIANA DA SILVA JARMOLINSKI</v>
      </c>
      <c r="D139" s="5" t="str">
        <f>Transferencia!D139</f>
        <v>fabisilvajarmolinski@gmail.com</v>
      </c>
      <c r="E139" s="5" t="str">
        <f>Transferencia!G139</f>
        <v>5512981639914</v>
      </c>
      <c r="F139" s="5" t="str">
        <f>Transferencia!H139</f>
        <v xml:space="preserve">e-CPF A1 - 1 ano </v>
      </c>
      <c r="G139" s="6" t="str">
        <f>Transferencia!J139</f>
        <v>PONTO DE ATENDIMENTO AR CERTIFAST - ANDROMEDA/SP</v>
      </c>
      <c r="H139" s="4" t="str">
        <f>VLOOKUP(G139,Página1!G:L,6,0)</f>
        <v>Rogério</v>
      </c>
      <c r="I139" s="4" t="s">
        <v>16</v>
      </c>
      <c r="J139" s="5" t="str">
        <f>Transferencia!L139</f>
        <v>043.178.044-76</v>
      </c>
      <c r="K139" s="5" t="str">
        <f>Transferencia!M139</f>
        <v/>
      </c>
      <c r="L139" s="5"/>
    </row>
    <row r="140" spans="1:12" ht="15.75" customHeight="1">
      <c r="A140" s="5" t="str">
        <f>Transferencia!A140</f>
        <v>19404505</v>
      </c>
      <c r="B140" s="5" t="str">
        <f>Transferencia!B140</f>
        <v>09/02/2025</v>
      </c>
      <c r="C140" s="5" t="str">
        <f>Transferencia!C140</f>
        <v>JOSE CARLOS PEREIRA</v>
      </c>
      <c r="D140" s="5" t="str">
        <f>Transferencia!D140</f>
        <v>jose.pereira@mercantil.com.br</v>
      </c>
      <c r="E140" s="5" t="str">
        <f>Transferencia!G140</f>
        <v>553130576142</v>
      </c>
      <c r="F140" s="5" t="str">
        <f>Transferencia!H140</f>
        <v xml:space="preserve">e-CPF A3 - 3 anos </v>
      </c>
      <c r="G140" s="6" t="str">
        <f>Transferencia!J140</f>
        <v>Ponto de Atendimento AR Certifast - Prado BH/MG</v>
      </c>
      <c r="H140" s="4" t="str">
        <f>VLOOKUP(G140,Página1!G:L,6,0)</f>
        <v>Isabella</v>
      </c>
      <c r="I140" s="4" t="s">
        <v>16</v>
      </c>
      <c r="J140" s="5" t="str">
        <f>Transferencia!L140</f>
        <v>516.457.776-34</v>
      </c>
      <c r="K140" s="5" t="str">
        <f>Transferencia!M140</f>
        <v/>
      </c>
      <c r="L140" s="5"/>
    </row>
    <row r="141" spans="1:12" ht="15.75" customHeight="1">
      <c r="A141" s="5" t="str">
        <f>Transferencia!A141</f>
        <v>20009874</v>
      </c>
      <c r="B141" s="5" t="str">
        <f>Transferencia!B141</f>
        <v>09/02/2025</v>
      </c>
      <c r="C141" s="5" t="str">
        <f>Transferencia!C141</f>
        <v>GEOVANI PINHEIRO DE ALMEIDA</v>
      </c>
      <c r="D141" s="5" t="str">
        <f>Transferencia!D141</f>
        <v>geovani@joacel.com</v>
      </c>
      <c r="E141" s="5" t="str">
        <f>Transferencia!G141</f>
        <v>5533784079941</v>
      </c>
      <c r="F141" s="5" t="str">
        <f>Transferencia!H141</f>
        <v xml:space="preserve">e-CPF A3 - remoteID - 3 anos </v>
      </c>
      <c r="G141" s="6" t="str">
        <f>Transferencia!J141</f>
        <v>AR Certifast</v>
      </c>
      <c r="H141" s="4" t="str">
        <f>VLOOKUP(G141,Página1!G:L,6,0)</f>
        <v>Alexandre</v>
      </c>
      <c r="I141" s="4" t="s">
        <v>16</v>
      </c>
      <c r="J141" s="5" t="str">
        <f>Transferencia!L141</f>
        <v>047.699.568-00</v>
      </c>
      <c r="K141" s="5" t="str">
        <f>Transferencia!M141</f>
        <v/>
      </c>
      <c r="L141" s="5" t="s">
        <v>132</v>
      </c>
    </row>
    <row r="142" spans="1:12" ht="15.75" customHeight="1">
      <c r="A142" s="5" t="str">
        <f>Transferencia!A142</f>
        <v>20055053</v>
      </c>
      <c r="B142" s="5" t="str">
        <f>Transferencia!B142</f>
        <v>09/02/2025</v>
      </c>
      <c r="C142" s="5" t="str">
        <f>Transferencia!C142</f>
        <v>MARCIO DIMO</v>
      </c>
      <c r="D142" s="5" t="str">
        <f>Transferencia!D142</f>
        <v>CONTABILIDADE4@ESCRITORIOCONTABILETICA.COM.BR</v>
      </c>
      <c r="E142" s="5" t="str">
        <f>Transferencia!G142</f>
        <v>55</v>
      </c>
      <c r="F142" s="5" t="str">
        <f>Transferencia!H142</f>
        <v xml:space="preserve">e-CNPJ A3 - 3 anos - PME </v>
      </c>
      <c r="G142" s="6" t="str">
        <f>Transferencia!J142</f>
        <v>Ponto de Atendimento AR Certifast - Maua Centro/SP</v>
      </c>
      <c r="H142" s="4" t="str">
        <f>VLOOKUP(G142,Página1!G:L,6,0)</f>
        <v>Ingrid</v>
      </c>
      <c r="I142" s="4" t="s">
        <v>16</v>
      </c>
      <c r="J142" s="5" t="str">
        <f>Transferencia!L142</f>
        <v>089.125.718-77</v>
      </c>
      <c r="K142" s="5" t="str">
        <f>Transferencia!M142</f>
        <v>96.264.874/0001-25</v>
      </c>
      <c r="L142" s="5"/>
    </row>
    <row r="143" spans="1:12" ht="15.75" customHeight="1">
      <c r="A143" s="5" t="str">
        <f>Transferencia!A143</f>
        <v>23037748</v>
      </c>
      <c r="B143" s="5" t="str">
        <f>Transferencia!B143</f>
        <v>09/02/2025</v>
      </c>
      <c r="C143" s="5" t="str">
        <f>Transferencia!C143</f>
        <v>SIDNEY DE JESUS</v>
      </c>
      <c r="D143" s="5" t="str">
        <f>Transferencia!D143</f>
        <v>sidney.d.j@hotmail.com</v>
      </c>
      <c r="E143" s="5" t="str">
        <f>Transferencia!G143</f>
        <v>5511964977681</v>
      </c>
      <c r="F143" s="5" t="str">
        <f>Transferencia!H143</f>
        <v xml:space="preserve">e-CNPJ A1 - 1 ano </v>
      </c>
      <c r="G143" s="6" t="str">
        <f>Transferencia!J143</f>
        <v>Ponto de Atendimento AR Certifast - Maua Centro/SP</v>
      </c>
      <c r="H143" s="4" t="str">
        <f>VLOOKUP(G143,Página1!G:L,6,0)</f>
        <v>Ingrid</v>
      </c>
      <c r="I143" s="4" t="s">
        <v>16</v>
      </c>
      <c r="J143" s="5" t="str">
        <f>Transferencia!L143</f>
        <v>270.720.358-00</v>
      </c>
      <c r="K143" s="5" t="str">
        <f>Transferencia!M143</f>
        <v>24.191.086/0001-45</v>
      </c>
      <c r="L143" s="5"/>
    </row>
    <row r="144" spans="1:12" ht="15.75" customHeight="1">
      <c r="A144" s="5" t="str">
        <f>Transferencia!A144</f>
        <v>20038621</v>
      </c>
      <c r="B144" s="5" t="str">
        <f>Transferencia!B144</f>
        <v>10/02/2025</v>
      </c>
      <c r="C144" s="5" t="str">
        <f>Transferencia!C144</f>
        <v>GUILHERME FREDERICO DE CARVALHO MOTA</v>
      </c>
      <c r="D144" s="5" t="str">
        <f>Transferencia!D144</f>
        <v>comercial1dibh@gmail.com</v>
      </c>
      <c r="E144" s="5" t="str">
        <f>Transferencia!G144</f>
        <v>5531988808424</v>
      </c>
      <c r="F144" s="5" t="str">
        <f>Transferencia!H144</f>
        <v xml:space="preserve">e-CNPJ A3 - remoteID - 3 anos </v>
      </c>
      <c r="G144" s="6" t="str">
        <f>Transferencia!J144</f>
        <v>Ponto de Atendimento AR Certifast - Prado BH/MG</v>
      </c>
      <c r="H144" s="4" t="str">
        <f>VLOOKUP(G144,Página1!G:L,6,0)</f>
        <v>Isabella</v>
      </c>
      <c r="I144" s="4" t="s">
        <v>16</v>
      </c>
      <c r="J144" s="5" t="str">
        <f>Transferencia!L144</f>
        <v>069.607.136-33</v>
      </c>
      <c r="K144" s="5" t="str">
        <f>Transferencia!M144</f>
        <v>26.836.356/0001-53</v>
      </c>
      <c r="L144" s="5"/>
    </row>
    <row r="145" spans="1:12" ht="15.75" customHeight="1">
      <c r="A145" s="5" t="str">
        <f>Transferencia!A145</f>
        <v>20063068</v>
      </c>
      <c r="B145" s="5" t="str">
        <f>Transferencia!B145</f>
        <v>10/02/2025</v>
      </c>
      <c r="C145" s="5" t="str">
        <f>Transferencia!C145</f>
        <v>Sabrina Bonfim de Arruda Pinto</v>
      </c>
      <c r="D145" s="5" t="str">
        <f>Transferencia!D145</f>
        <v>sabrpint@trf3.jus.br</v>
      </c>
      <c r="E145" s="5" t="str">
        <f>Transferencia!G145</f>
        <v>5511963701609</v>
      </c>
      <c r="F145" s="5" t="str">
        <f>Transferencia!H145</f>
        <v>A3 PF - 3 anos -  JUS</v>
      </c>
      <c r="G145" s="6" t="str">
        <f>Transferencia!J145</f>
        <v>Ponto de Atendimento AR Certifast - Jundiai Centro/SP - Jus</v>
      </c>
      <c r="H145" s="4" t="e">
        <f>VLOOKUP(G145,Página1!G:L,6,0)</f>
        <v>#N/A</v>
      </c>
      <c r="I145" s="4" t="s">
        <v>16</v>
      </c>
      <c r="J145" s="5" t="str">
        <f>Transferencia!L145</f>
        <v>927.660.131-72</v>
      </c>
      <c r="K145" s="5" t="str">
        <f>Transferencia!M145</f>
        <v/>
      </c>
      <c r="L145" s="5" t="s">
        <v>133</v>
      </c>
    </row>
    <row r="146" spans="1:12" ht="15.75" customHeight="1">
      <c r="A146" s="5" t="str">
        <f>Transferencia!A146</f>
        <v>20072285</v>
      </c>
      <c r="B146" s="5" t="str">
        <f>Transferencia!B146</f>
        <v>10/02/2025</v>
      </c>
      <c r="C146" s="5" t="str">
        <f>Transferencia!C146</f>
        <v>MARCIO APARECIDO DO NASCIMENTO</v>
      </c>
      <c r="D146" s="5" t="str">
        <f>Transferencia!D146</f>
        <v>CANNONDOBRASIL@CANNON.COM</v>
      </c>
      <c r="E146" s="5" t="str">
        <f>Transferencia!G146</f>
        <v>5511991922964</v>
      </c>
      <c r="F146" s="5" t="str">
        <f>Transferencia!H146</f>
        <v xml:space="preserve">e-CPF A3 - 3 anos </v>
      </c>
      <c r="G146" s="6" t="str">
        <f>Transferencia!J146</f>
        <v>PONTO DE ATENDIMENTO AR CERTIFAST - ANDROMEDA/SP</v>
      </c>
      <c r="H146" s="4" t="str">
        <f>VLOOKUP(G146,Página1!G:L,6,0)</f>
        <v>Rogério</v>
      </c>
      <c r="I146" s="4" t="s">
        <v>16</v>
      </c>
      <c r="J146" s="5" t="str">
        <f>Transferencia!L146</f>
        <v>271.221.658-09</v>
      </c>
      <c r="K146" s="5" t="str">
        <f>Transferencia!M146</f>
        <v/>
      </c>
      <c r="L146" s="5" t="s">
        <v>134</v>
      </c>
    </row>
    <row r="147" spans="1:12" ht="15.75" customHeight="1">
      <c r="A147" s="5" t="str">
        <f>Transferencia!A147</f>
        <v>20077759</v>
      </c>
      <c r="B147" s="5" t="str">
        <f>Transferencia!B147</f>
        <v>10/02/2025</v>
      </c>
      <c r="C147" s="5" t="str">
        <f>Transferencia!C147</f>
        <v>ISABELLA DE SA TEIXEIRA</v>
      </c>
      <c r="D147" s="5" t="str">
        <f>Transferencia!D147</f>
        <v>isabella_sa_teixeira@yahoo.com.br</v>
      </c>
      <c r="E147" s="5" t="str">
        <f>Transferencia!G147</f>
        <v>5535997373317</v>
      </c>
      <c r="F147" s="5" t="str">
        <f>Transferencia!H147</f>
        <v>e-CPF A3 - remoteID - 3 anos</v>
      </c>
      <c r="G147" s="6" t="str">
        <f>Transferencia!J147</f>
        <v>PONTO DE ATENDIMENTO AR CERTIFAST - ANDROMEDA/SP</v>
      </c>
      <c r="H147" s="4" t="str">
        <f>VLOOKUP(G147,Página1!G:L,6,0)</f>
        <v>Rogério</v>
      </c>
      <c r="I147" s="4" t="s">
        <v>16</v>
      </c>
      <c r="J147" s="5" t="str">
        <f>Transferencia!L147</f>
        <v>119.317.536-44</v>
      </c>
      <c r="K147" s="5" t="str">
        <f>Transferencia!M147</f>
        <v/>
      </c>
      <c r="L147" s="5" t="s">
        <v>135</v>
      </c>
    </row>
    <row r="148" spans="1:12" ht="15.75" customHeight="1">
      <c r="A148" s="5" t="str">
        <f>Transferencia!A148</f>
        <v>20081067</v>
      </c>
      <c r="B148" s="5" t="str">
        <f>Transferencia!B148</f>
        <v>10/02/2025</v>
      </c>
      <c r="C148" s="5" t="str">
        <f>Transferencia!C148</f>
        <v>DANIEL GODOI PEAGNO</v>
      </c>
      <c r="D148" s="5" t="str">
        <f>Transferencia!D148</f>
        <v>DANIEL.PEAGNO@GMAIL.COM</v>
      </c>
      <c r="E148" s="5" t="str">
        <f>Transferencia!G148</f>
        <v>5512981299100</v>
      </c>
      <c r="F148" s="5" t="str">
        <f>Transferencia!H148</f>
        <v xml:space="preserve">e-CNPJ A3 - 3 anos - PME </v>
      </c>
      <c r="G148" s="6" t="str">
        <f>Transferencia!J148</f>
        <v>PONTO DE ATENDIMENTO AR CERTIFAST - ANDROMEDA/SP</v>
      </c>
      <c r="H148" s="4" t="str">
        <f>VLOOKUP(G148,Página1!G:L,6,0)</f>
        <v>Rogério</v>
      </c>
      <c r="I148" s="4" t="s">
        <v>16</v>
      </c>
      <c r="J148" s="5" t="str">
        <f>Transferencia!L148</f>
        <v>265.925.828-71</v>
      </c>
      <c r="K148" s="5" t="str">
        <f>Transferencia!M148</f>
        <v>07.351.024/0001-34</v>
      </c>
      <c r="L148" s="5" t="s">
        <v>136</v>
      </c>
    </row>
    <row r="149" spans="1:12" ht="15.75" customHeight="1">
      <c r="A149" s="5" t="str">
        <f>Transferencia!A149</f>
        <v>23057751</v>
      </c>
      <c r="B149" s="5" t="str">
        <f>Transferencia!B149</f>
        <v>10/02/2025</v>
      </c>
      <c r="C149" s="5" t="str">
        <f>Transferencia!C149</f>
        <v>THIFANY XAVIER BRAVO DO NASCIMENTO</v>
      </c>
      <c r="D149" s="5" t="str">
        <f>Transferencia!D149</f>
        <v>guilherme.pereirinha@hotmail.com</v>
      </c>
      <c r="E149" s="5" t="str">
        <f>Transferencia!G149</f>
        <v>5511985566899</v>
      </c>
      <c r="F149" s="5" t="str">
        <f>Transferencia!H149</f>
        <v xml:space="preserve">e-CPF A1 - 1 ano </v>
      </c>
      <c r="G149" s="6" t="str">
        <f>Transferencia!J149</f>
        <v>PONTO DE ATENDIMENTO AR CERTIFAST - ILHABELA/SP</v>
      </c>
      <c r="H149" s="4" t="str">
        <f>VLOOKUP(G149,Página1!G:L,6,0)</f>
        <v>Leandro</v>
      </c>
      <c r="I149" s="4" t="s">
        <v>16</v>
      </c>
      <c r="J149" s="5" t="str">
        <f>Transferencia!L149</f>
        <v>476.390.368-36</v>
      </c>
      <c r="K149" s="5" t="str">
        <f>Transferencia!M149</f>
        <v/>
      </c>
      <c r="L149" s="5" t="s">
        <v>137</v>
      </c>
    </row>
    <row r="150" spans="1:12" ht="15.75" customHeight="1">
      <c r="A150" s="5" t="str">
        <f>Transferencia!A150</f>
        <v>20076156</v>
      </c>
      <c r="B150" s="5" t="str">
        <f>Transferencia!B150</f>
        <v>11/02/2025</v>
      </c>
      <c r="C150" s="5" t="str">
        <f>Transferencia!C150</f>
        <v>WAGNER MENDONCA BOSQUE</v>
      </c>
      <c r="D150" s="5" t="str">
        <f>Transferencia!D150</f>
        <v>wagner.bosque@tjmg.jus.br</v>
      </c>
      <c r="E150" s="5" t="str">
        <f>Transferencia!G150</f>
        <v>5531999731606</v>
      </c>
      <c r="F150" s="5" t="str">
        <f>Transferencia!H150</f>
        <v xml:space="preserve">e-CPF A3 - 3 anos </v>
      </c>
      <c r="G150" s="6" t="str">
        <f>Transferencia!J150</f>
        <v>Ponto de Atendimento AR Certifast - Prado BH/MG - JUS</v>
      </c>
      <c r="H150" s="4" t="str">
        <f>VLOOKUP(G150,Página1!G:L,6,0)</f>
        <v>Isabella</v>
      </c>
      <c r="I150" s="4" t="s">
        <v>16</v>
      </c>
      <c r="J150" s="5" t="str">
        <f>Transferencia!L150</f>
        <v>052.615.056-40</v>
      </c>
      <c r="K150" s="5" t="str">
        <f>Transferencia!M150</f>
        <v/>
      </c>
      <c r="L150" s="5"/>
    </row>
    <row r="151" spans="1:12" ht="15.75" customHeight="1">
      <c r="A151" s="5" t="str">
        <f>Transferencia!A151</f>
        <v>23035714</v>
      </c>
      <c r="B151" s="5" t="str">
        <f>Transferencia!B151</f>
        <v>11/02/2025</v>
      </c>
      <c r="C151" s="5" t="str">
        <f>Transferencia!C151</f>
        <v>FABIO DOS SANTOS BRAZ</v>
      </c>
      <c r="D151" s="5" t="str">
        <f>Transferencia!D151</f>
        <v>fs5157154@gmail.com</v>
      </c>
      <c r="E151" s="5" t="str">
        <f>Transferencia!G151</f>
        <v>5531991162835</v>
      </c>
      <c r="F151" s="5" t="str">
        <f>Transferencia!H151</f>
        <v xml:space="preserve">e-CNPJ A1 - PME </v>
      </c>
      <c r="G151" s="6" t="str">
        <f>Transferencia!J151</f>
        <v>Ponto de Atendimento AR Certifast - Prado BH/MG</v>
      </c>
      <c r="H151" s="4" t="str">
        <f>VLOOKUP(G151,Página1!G:L,6,0)</f>
        <v>Isabella</v>
      </c>
      <c r="I151" s="4" t="s">
        <v>16</v>
      </c>
      <c r="J151" s="5" t="str">
        <f>Transferencia!L151</f>
        <v>121.094.996-21</v>
      </c>
      <c r="K151" s="5" t="str">
        <f>Transferencia!M151</f>
        <v>44.923.275/0001-72</v>
      </c>
      <c r="L151" s="5" t="s">
        <v>138</v>
      </c>
    </row>
    <row r="152" spans="1:12" ht="15.75" customHeight="1">
      <c r="A152" s="5" t="str">
        <f>Transferencia!A152</f>
        <v>23044301</v>
      </c>
      <c r="B152" s="5" t="str">
        <f>Transferencia!B152</f>
        <v>11/02/2025</v>
      </c>
      <c r="C152" s="5" t="str">
        <f>Transferencia!C152</f>
        <v>DANIEL DALTIO MAGRO</v>
      </c>
      <c r="D152" s="5" t="str">
        <f>Transferencia!D152</f>
        <v>danieldaltio@gmail.com</v>
      </c>
      <c r="E152" s="5" t="str">
        <f>Transferencia!G152</f>
        <v>5511954788091</v>
      </c>
      <c r="F152" s="5" t="str">
        <f>Transferencia!H152</f>
        <v xml:space="preserve">e-CNPJ A1 - 1 ano </v>
      </c>
      <c r="G152" s="6" t="str">
        <f>Transferencia!J152</f>
        <v>PONTO DE ATENDIMENTO AR CERTIFAST - CARIJOS - STA/SP</v>
      </c>
      <c r="H152" s="4" t="str">
        <f>VLOOKUP(G152,Página1!G:L,6,0)</f>
        <v>Alexandre</v>
      </c>
      <c r="I152" s="4" t="s">
        <v>16</v>
      </c>
      <c r="J152" s="5" t="str">
        <f>Transferencia!L152</f>
        <v>381.527.588-17</v>
      </c>
      <c r="K152" s="5" t="str">
        <f>Transferencia!M152</f>
        <v>44.156.548/0001-09</v>
      </c>
      <c r="L152" s="5"/>
    </row>
    <row r="153" spans="1:12" ht="15.75" customHeight="1">
      <c r="A153" s="5" t="str">
        <f>Transferencia!A153</f>
        <v>23051199</v>
      </c>
      <c r="B153" s="5" t="str">
        <f>Transferencia!B153</f>
        <v>11/02/2025</v>
      </c>
      <c r="C153" s="5" t="str">
        <f>Transferencia!C153</f>
        <v>JUAN JOSE SOLORZANO OJEDA</v>
      </c>
      <c r="D153" s="5" t="str">
        <f>Transferencia!D153</f>
        <v>jsolorzanobr@gmail.com</v>
      </c>
      <c r="E153" s="5" t="str">
        <f>Transferencia!G153</f>
        <v>5511977318242</v>
      </c>
      <c r="F153" s="5" t="str">
        <f>Transferencia!H153</f>
        <v xml:space="preserve">e-CNPJ A1 - 1 ano </v>
      </c>
      <c r="G153" s="6" t="str">
        <f>Transferencia!J153</f>
        <v>Ponto de Atendimento AR Certifast - Maua Centro/SP</v>
      </c>
      <c r="H153" s="4" t="str">
        <f>VLOOKUP(G153,Página1!G:L,6,0)</f>
        <v>Ingrid</v>
      </c>
      <c r="I153" s="4" t="s">
        <v>16</v>
      </c>
      <c r="J153" s="5" t="str">
        <f>Transferencia!L153</f>
        <v>240.346.648-43</v>
      </c>
      <c r="K153" s="5" t="str">
        <f>Transferencia!M153</f>
        <v>52.187.266/0001-99</v>
      </c>
      <c r="L153" s="5" t="s">
        <v>139</v>
      </c>
    </row>
    <row r="154" spans="1:12" ht="15.75" customHeight="1">
      <c r="A154" s="5" t="str">
        <f>Transferencia!A154</f>
        <v>23060419</v>
      </c>
      <c r="B154" s="5" t="str">
        <f>Transferencia!B154</f>
        <v>11/02/2025</v>
      </c>
      <c r="C154" s="5" t="str">
        <f>Transferencia!C154</f>
        <v>LUCIA HELENA SOLCIA CRISOSTO</v>
      </c>
      <c r="D154" s="5" t="str">
        <f>Transferencia!D154</f>
        <v>montanini@montanini.com.br</v>
      </c>
      <c r="E154" s="5" t="str">
        <f>Transferencia!G154</f>
        <v>5511991915530</v>
      </c>
      <c r="F154" s="5" t="str">
        <f>Transferencia!H154</f>
        <v xml:space="preserve">e-CNPJ A1 - 1 ano </v>
      </c>
      <c r="G154" s="6" t="str">
        <f>Transferencia!J154</f>
        <v>AR Certifast</v>
      </c>
      <c r="H154" s="4" t="str">
        <f>VLOOKUP(G154,Página1!G:L,6,0)</f>
        <v>Alexandre</v>
      </c>
      <c r="I154" s="4" t="s">
        <v>16</v>
      </c>
      <c r="J154" s="5" t="str">
        <f>Transferencia!L154</f>
        <v>246.022.318-88</v>
      </c>
      <c r="K154" s="5" t="str">
        <f>Transferencia!M154</f>
        <v>17.716.918/0001-34</v>
      </c>
      <c r="L154" s="5" t="s">
        <v>140</v>
      </c>
    </row>
    <row r="155" spans="1:12" ht="15.75" customHeight="1">
      <c r="A155" s="5" t="str">
        <f>Transferencia!A155</f>
        <v>22998522</v>
      </c>
      <c r="B155" s="5" t="str">
        <f>Transferencia!B155</f>
        <v>12/02/2025</v>
      </c>
      <c r="C155" s="5" t="str">
        <f>Transferencia!C155</f>
        <v>MARCOS PAULO BARBOSA DE CAMPOS</v>
      </c>
      <c r="D155" s="5" t="str">
        <f>Transferencia!D155</f>
        <v>marcos@avantesystem.com.br</v>
      </c>
      <c r="E155" s="5" t="str">
        <f>Transferencia!G155</f>
        <v>5512996323535</v>
      </c>
      <c r="F155" s="5" t="str">
        <f>Transferencia!H155</f>
        <v xml:space="preserve">e-CNPJ A1 - 1 ano </v>
      </c>
      <c r="G155" s="6" t="str">
        <f>Transferencia!J155</f>
        <v>PONTO DE ATENDIMENTO AR CERTIFAST - ANDROMEDA/SP</v>
      </c>
      <c r="H155" s="4" t="str">
        <f>VLOOKUP(G155,Página1!G:L,6,0)</f>
        <v>Rogério</v>
      </c>
      <c r="I155" s="4" t="s">
        <v>16</v>
      </c>
      <c r="J155" s="5" t="str">
        <f>Transferencia!L155</f>
        <v>430.269.298-75</v>
      </c>
      <c r="K155" s="5" t="str">
        <f>Transferencia!M155</f>
        <v>43.501.470/0001-41</v>
      </c>
      <c r="L155" s="5" t="s">
        <v>141</v>
      </c>
    </row>
    <row r="156" spans="1:12" ht="15.75" customHeight="1">
      <c r="A156" s="5" t="str">
        <f>Transferencia!A156</f>
        <v>23062317</v>
      </c>
      <c r="B156" s="5" t="str">
        <f>Transferencia!B156</f>
        <v>12/02/2025</v>
      </c>
      <c r="C156" s="5" t="str">
        <f>Transferencia!C156</f>
        <v>BRUNO ALVES DA ROSA</v>
      </c>
      <c r="D156" s="5" t="str">
        <f>Transferencia!D156</f>
        <v>brunoar86.13@gmail.com</v>
      </c>
      <c r="E156" s="5" t="str">
        <f>Transferencia!G156</f>
        <v>5535984098169</v>
      </c>
      <c r="F156" s="5" t="str">
        <f>Transferencia!H156</f>
        <v xml:space="preserve">e-CPF A1 - 1 ano </v>
      </c>
      <c r="G156" s="6" t="str">
        <f>Transferencia!J156</f>
        <v>PONTO DE ATENDIMENTO AR CERTIFAST - ANDROMEDA/SP</v>
      </c>
      <c r="H156" s="4" t="str">
        <f>VLOOKUP(G156,Página1!G:L,6,0)</f>
        <v>Rogério</v>
      </c>
      <c r="I156" s="4" t="s">
        <v>16</v>
      </c>
      <c r="J156" s="5" t="str">
        <f>Transferencia!L156</f>
        <v>341.711.958-88</v>
      </c>
      <c r="K156" s="5" t="str">
        <f>Transferencia!M156</f>
        <v/>
      </c>
      <c r="L156" s="5" t="s">
        <v>142</v>
      </c>
    </row>
    <row r="157" spans="1:12" ht="15.75" customHeight="1">
      <c r="A157" s="5" t="str">
        <f>Transferencia!A157</f>
        <v>23064471</v>
      </c>
      <c r="B157" s="5" t="str">
        <f>Transferencia!B157</f>
        <v>12/02/2025</v>
      </c>
      <c r="C157" s="5" t="str">
        <f>Transferencia!C157</f>
        <v>Adriano Luis De Souza</v>
      </c>
      <c r="D157" s="5" t="str">
        <f>Transferencia!D157</f>
        <v>unishop.itupeva@gmail.com</v>
      </c>
      <c r="E157" s="5" t="str">
        <f>Transferencia!G157</f>
        <v>5511955832040</v>
      </c>
      <c r="F157" s="5" t="str">
        <f>Transferencia!H157</f>
        <v xml:space="preserve"> NF-e A1 PJ - 1 ano - AC Certisign Multipla</v>
      </c>
      <c r="G157" s="6" t="str">
        <f>Transferencia!J157</f>
        <v>AR Certifast</v>
      </c>
      <c r="H157" s="4" t="str">
        <f>VLOOKUP(G157,Página1!G:L,6,0)</f>
        <v>Alexandre</v>
      </c>
      <c r="I157" s="4" t="s">
        <v>16</v>
      </c>
      <c r="J157" s="5" t="str">
        <f>Transferencia!L157</f>
        <v>277.754.208-20</v>
      </c>
      <c r="K157" s="5" t="str">
        <f>Transferencia!M157</f>
        <v>53.500.408/0001-99</v>
      </c>
      <c r="L157" s="5" t="s">
        <v>143</v>
      </c>
    </row>
    <row r="158" spans="1:12" ht="15.75" customHeight="1">
      <c r="A158" s="5" t="str">
        <f>Transferencia!A158</f>
        <v>23065768</v>
      </c>
      <c r="B158" s="5" t="str">
        <f>Transferencia!B158</f>
        <v>12/02/2025</v>
      </c>
      <c r="C158" s="5" t="str">
        <f>Transferencia!C158</f>
        <v>KERLY ROSA DOS REIS SANTOS</v>
      </c>
      <c r="D158" s="5" t="str">
        <f>Transferencia!D158</f>
        <v>jussara.fernandes@camfer.com.br</v>
      </c>
      <c r="E158" s="5" t="str">
        <f>Transferencia!G158</f>
        <v>5512988444025</v>
      </c>
      <c r="F158" s="5" t="str">
        <f>Transferencia!H158</f>
        <v xml:space="preserve">e-CNPJ A1 - PME </v>
      </c>
      <c r="G158" s="6" t="str">
        <f>Transferencia!J158</f>
        <v>PONTO DE ATENDIMENTO AR CERTIFAST - ANDROMEDA/SP</v>
      </c>
      <c r="H158" s="4" t="str">
        <f>VLOOKUP(G158,Página1!G:L,6,0)</f>
        <v>Rogério</v>
      </c>
      <c r="I158" s="4" t="s">
        <v>16</v>
      </c>
      <c r="J158" s="5" t="str">
        <f>Transferencia!L158</f>
        <v>863.837.601-49</v>
      </c>
      <c r="K158" s="5" t="str">
        <f>Transferencia!M158</f>
        <v>49.177.543/0001-78</v>
      </c>
      <c r="L158" s="5" t="s">
        <v>144</v>
      </c>
    </row>
    <row r="159" spans="1:12" ht="15.75" customHeight="1">
      <c r="A159" s="5" t="str">
        <f>Transferencia!A159</f>
        <v>20061527</v>
      </c>
      <c r="B159" s="5" t="str">
        <f>Transferencia!B159</f>
        <v>13/02/2025</v>
      </c>
      <c r="C159" s="5" t="str">
        <f>Transferencia!C159</f>
        <v>YUMIKO NAKAMURA KAKAZU</v>
      </c>
      <c r="D159" s="5" t="str">
        <f>Transferencia!D159</f>
        <v>cwmassessoria@gmail.com</v>
      </c>
      <c r="E159" s="5" t="str">
        <f>Transferencia!G159</f>
        <v>5511940097468</v>
      </c>
      <c r="F159" s="5" t="str">
        <f>Transferencia!H159</f>
        <v xml:space="preserve">e-CNPJ A3 - 3 anos - PME </v>
      </c>
      <c r="G159" s="6" t="str">
        <f>Transferencia!J159</f>
        <v>PONTO DE ATENDIMENTO AR CERTIFAST - CWM/SP</v>
      </c>
      <c r="H159" s="4" t="e">
        <f>VLOOKUP(G159,Página1!G:L,6,0)</f>
        <v>#N/A</v>
      </c>
      <c r="I159" s="4" t="s">
        <v>16</v>
      </c>
      <c r="J159" s="5" t="str">
        <f>Transferencia!L159</f>
        <v>097.095.638-07</v>
      </c>
      <c r="K159" s="5" t="str">
        <f>Transferencia!M159</f>
        <v>12.365.765/0001-04</v>
      </c>
      <c r="L159" s="5" t="s">
        <v>145</v>
      </c>
    </row>
    <row r="160" spans="1:12" ht="15.75" customHeight="1">
      <c r="A160" s="5" t="str">
        <f>Transferencia!A160</f>
        <v>20078044</v>
      </c>
      <c r="B160" s="5" t="str">
        <f>Transferencia!B160</f>
        <v>13/02/2025</v>
      </c>
      <c r="C160" s="5" t="str">
        <f>Transferencia!C160</f>
        <v>ERICA WITHAAR</v>
      </c>
      <c r="D160" s="5" t="str">
        <f>Transferencia!D160</f>
        <v>ERICA.WITHAAR@EMBRAER.NET.BR</v>
      </c>
      <c r="E160" s="5" t="str">
        <f>Transferencia!G160</f>
        <v>55</v>
      </c>
      <c r="F160" s="5" t="str">
        <f>Transferencia!H160</f>
        <v xml:space="preserve">e-CPF A3 - 3 anos </v>
      </c>
      <c r="G160" s="6" t="str">
        <f>Transferencia!J160</f>
        <v>PONTO DE ATENDIMENTO AR CERTIFAST - ANDROMEDA/SP</v>
      </c>
      <c r="H160" s="4" t="str">
        <f>VLOOKUP(G160,Página1!G:L,6,0)</f>
        <v>Rogério</v>
      </c>
      <c r="I160" s="4" t="s">
        <v>16</v>
      </c>
      <c r="J160" s="5" t="str">
        <f>Transferencia!L160</f>
        <v>278.788.268-46</v>
      </c>
      <c r="K160" s="5" t="str">
        <f>Transferencia!M160</f>
        <v/>
      </c>
      <c r="L160" s="5" t="s">
        <v>146</v>
      </c>
    </row>
    <row r="161" spans="1:12" ht="15.75" customHeight="1">
      <c r="A161" s="5" t="str">
        <f>Transferencia!A161</f>
        <v>20079504</v>
      </c>
      <c r="B161" s="5" t="str">
        <f>Transferencia!B161</f>
        <v>13/02/2025</v>
      </c>
      <c r="C161" s="5" t="str">
        <f>Transferencia!C161</f>
        <v>FLAVIO AUGUSTO LACERDA DE FARIAS</v>
      </c>
      <c r="D161" s="5" t="str">
        <f>Transferencia!D161</f>
        <v>flavio.augusto.farias@hotmail.com</v>
      </c>
      <c r="E161" s="5" t="str">
        <f>Transferencia!G161</f>
        <v>551130420098</v>
      </c>
      <c r="F161" s="5" t="str">
        <f>Transferencia!H161</f>
        <v xml:space="preserve">e-CPF A3 - remoteID - 3 anos </v>
      </c>
      <c r="G161" s="6" t="str">
        <f>Transferencia!J161</f>
        <v>AR Certifast</v>
      </c>
      <c r="H161" s="4" t="str">
        <f>VLOOKUP(G161,Página1!G:L,6,0)</f>
        <v>Alexandre</v>
      </c>
      <c r="I161" s="4" t="s">
        <v>16</v>
      </c>
      <c r="J161" s="5" t="str">
        <f>Transferencia!L161</f>
        <v>781.075.205-72</v>
      </c>
      <c r="K161" s="5" t="str">
        <f>Transferencia!M161</f>
        <v/>
      </c>
      <c r="L161" s="5" t="s">
        <v>147</v>
      </c>
    </row>
    <row r="162" spans="1:12" ht="15.75" customHeight="1">
      <c r="A162" s="5" t="str">
        <f>Transferencia!A162</f>
        <v>22939869</v>
      </c>
      <c r="B162" s="5" t="str">
        <f>Transferencia!B162</f>
        <v>13/02/2025</v>
      </c>
      <c r="C162" s="5" t="str">
        <f>Transferencia!C162</f>
        <v>KAROLY GRACIELE DE OLIVEIRA</v>
      </c>
      <c r="D162" s="5" t="str">
        <f>Transferencia!D162</f>
        <v>valefix.comercial@gmail.com</v>
      </c>
      <c r="E162" s="5" t="str">
        <f>Transferencia!G162</f>
        <v>5512992446720</v>
      </c>
      <c r="F162" s="5" t="str">
        <f>Transferencia!H162</f>
        <v xml:space="preserve">e-CNPJ A1 - 1 ano </v>
      </c>
      <c r="G162" s="6" t="str">
        <f>Transferencia!J162</f>
        <v>PONTO DE ATENDIMENTO AR CERTIFAST - ANDROMEDA/SP</v>
      </c>
      <c r="H162" s="4" t="str">
        <f>VLOOKUP(G162,Página1!G:L,6,0)</f>
        <v>Rogério</v>
      </c>
      <c r="I162" s="4" t="s">
        <v>16</v>
      </c>
      <c r="J162" s="5" t="str">
        <f>Transferencia!L162</f>
        <v>493.150.598-83</v>
      </c>
      <c r="K162" s="5" t="str">
        <f>Transferencia!M162</f>
        <v>45.318.418/0001-80</v>
      </c>
      <c r="L162" s="5" t="s">
        <v>148</v>
      </c>
    </row>
    <row r="163" spans="1:12" ht="15.75" customHeight="1">
      <c r="A163" s="5" t="str">
        <f>Transferencia!A163</f>
        <v>22961255</v>
      </c>
      <c r="B163" s="5" t="str">
        <f>Transferencia!B163</f>
        <v>13/02/2025</v>
      </c>
      <c r="C163" s="5" t="str">
        <f>Transferencia!C163</f>
        <v>DIEGO GRANADO VALLINI</v>
      </c>
      <c r="D163" s="5" t="str">
        <f>Transferencia!D163</f>
        <v>obarabrasilfilial@obarabrasil.com.br</v>
      </c>
      <c r="E163" s="5" t="str">
        <f>Transferencia!G163</f>
        <v>55</v>
      </c>
      <c r="F163" s="5" t="str">
        <f>Transferencia!H163</f>
        <v xml:space="preserve">e-CNPJ A1 - 1 ano </v>
      </c>
      <c r="G163" s="6" t="str">
        <f>Transferencia!J163</f>
        <v>Ponto de Atendimento AR Certifast - Maua Centro/SP</v>
      </c>
      <c r="H163" s="4" t="str">
        <f>VLOOKUP(G163,Página1!G:L,6,0)</f>
        <v>Ingrid</v>
      </c>
      <c r="I163" s="4" t="s">
        <v>16</v>
      </c>
      <c r="J163" s="5" t="str">
        <f>Transferencia!L163</f>
        <v>004.635.949-40</v>
      </c>
      <c r="K163" s="5" t="str">
        <f>Transferencia!M163</f>
        <v>21.272.161/0002-95</v>
      </c>
      <c r="L163" s="5" t="s">
        <v>149</v>
      </c>
    </row>
    <row r="164" spans="1:12" ht="15.75" customHeight="1">
      <c r="A164" s="5" t="str">
        <f>Transferencia!A164</f>
        <v>23030364</v>
      </c>
      <c r="B164" s="5" t="str">
        <f>Transferencia!B164</f>
        <v>13/02/2025</v>
      </c>
      <c r="C164" s="5" t="str">
        <f>Transferencia!C164</f>
        <v>TIAGO FELIX DA SILVA</v>
      </c>
      <c r="D164" s="5" t="str">
        <f>Transferencia!D164</f>
        <v>tiago@alvarenga.org.br</v>
      </c>
      <c r="E164" s="5" t="str">
        <f>Transferencia!G164</f>
        <v>5511995637382</v>
      </c>
      <c r="F164" s="5" t="str">
        <f>Transferencia!H164</f>
        <v xml:space="preserve">e-CPF A1 - 1 ano </v>
      </c>
      <c r="G164" s="6" t="str">
        <f>Transferencia!J164</f>
        <v>PONTO DE ATENDIMENTO AR CERTIFAST - CARIJOS - STA/SP</v>
      </c>
      <c r="H164" s="4" t="str">
        <f>VLOOKUP(G164,Página1!G:L,6,0)</f>
        <v>Alexandre</v>
      </c>
      <c r="I164" s="4" t="s">
        <v>16</v>
      </c>
      <c r="J164" s="5" t="str">
        <f>Transferencia!L164</f>
        <v>320.118.338-50</v>
      </c>
      <c r="K164" s="5" t="str">
        <f>Transferencia!M164</f>
        <v/>
      </c>
      <c r="L164" s="5" t="s">
        <v>150</v>
      </c>
    </row>
    <row r="165" spans="1:12" ht="15.75" customHeight="1">
      <c r="A165" s="5" t="str">
        <f>Transferencia!A165</f>
        <v>23048058</v>
      </c>
      <c r="B165" s="5" t="str">
        <f>Transferencia!B165</f>
        <v>13/02/2025</v>
      </c>
      <c r="C165" s="5" t="str">
        <f>Transferencia!C165</f>
        <v>ANDREIA PAIVA MONTEIRO</v>
      </c>
      <c r="D165" s="5" t="str">
        <f>Transferencia!D165</f>
        <v>advandreiapaiva@gmail.com</v>
      </c>
      <c r="E165" s="5" t="str">
        <f>Transferencia!G165</f>
        <v>5511963618012</v>
      </c>
      <c r="F165" s="5" t="str">
        <f>Transferencia!H165</f>
        <v xml:space="preserve">e-CNPJ A1 - 1 ano </v>
      </c>
      <c r="G165" s="6" t="str">
        <f>Transferencia!J165</f>
        <v>Ponto de Atendimento AR Certifast - Maua Centro/SP</v>
      </c>
      <c r="H165" s="4" t="str">
        <f>VLOOKUP(G165,Página1!G:L,6,0)</f>
        <v>Ingrid</v>
      </c>
      <c r="I165" s="4" t="s">
        <v>16</v>
      </c>
      <c r="J165" s="5" t="str">
        <f>Transferencia!L165</f>
        <v>192.442.538-60</v>
      </c>
      <c r="K165" s="5" t="str">
        <f>Transferencia!M165</f>
        <v>35.579.519/0001-50</v>
      </c>
      <c r="L165" s="5" t="s">
        <v>151</v>
      </c>
    </row>
    <row r="166" spans="1:12" ht="15.75" customHeight="1">
      <c r="A166" s="5" t="str">
        <f>Transferencia!A166</f>
        <v>23049686</v>
      </c>
      <c r="B166" s="5" t="str">
        <f>Transferencia!B166</f>
        <v>13/02/2025</v>
      </c>
      <c r="C166" s="5" t="str">
        <f>Transferencia!C166</f>
        <v>ALEXANDRE SILVIO DE CARVALHO</v>
      </c>
      <c r="D166" s="5" t="str">
        <f>Transferencia!D166</f>
        <v>alexandre.carvalho77@hotmail.com</v>
      </c>
      <c r="E166" s="5" t="str">
        <f>Transferencia!G166</f>
        <v>5512988866431</v>
      </c>
      <c r="F166" s="5" t="str">
        <f>Transferencia!H166</f>
        <v xml:space="preserve">e-CNPJ A1 - PME </v>
      </c>
      <c r="G166" s="6" t="str">
        <f>Transferencia!J166</f>
        <v>PONTO DE ATENDIMENTO AR CERTIFAST - ANDROMEDA/SP</v>
      </c>
      <c r="H166" s="4" t="str">
        <f>VLOOKUP(G166,Página1!G:L,6,0)</f>
        <v>Rogério</v>
      </c>
      <c r="I166" s="4" t="s">
        <v>16</v>
      </c>
      <c r="J166" s="5" t="str">
        <f>Transferencia!L166</f>
        <v>201.857.728-03</v>
      </c>
      <c r="K166" s="5" t="str">
        <f>Transferencia!M166</f>
        <v>38.337.001/0001-07</v>
      </c>
      <c r="L166" s="5" t="s">
        <v>152</v>
      </c>
    </row>
    <row r="167" spans="1:12" ht="15.75" customHeight="1">
      <c r="A167" s="5" t="str">
        <f>Transferencia!A167</f>
        <v>23051728</v>
      </c>
      <c r="B167" s="5" t="str">
        <f>Transferencia!B167</f>
        <v>13/02/2025</v>
      </c>
      <c r="C167" s="5" t="str">
        <f>Transferencia!C167</f>
        <v>CARLOS RENAN RODRIGUES ALVES</v>
      </c>
      <c r="D167" s="5" t="str">
        <f>Transferencia!D167</f>
        <v>coord.societario@reluzcontabil.com.br</v>
      </c>
      <c r="E167" s="5" t="str">
        <f>Transferencia!G167</f>
        <v>5511910014198</v>
      </c>
      <c r="F167" s="5" t="str">
        <f>Transferencia!H167</f>
        <v xml:space="preserve">e-CNPJ A1 - PME </v>
      </c>
      <c r="G167" s="6" t="str">
        <f>Transferencia!J167</f>
        <v>Ponto de Atendimento AR Certifast - Maua Centro/SP</v>
      </c>
      <c r="H167" s="4" t="str">
        <f>VLOOKUP(G167,Página1!G:L,6,0)</f>
        <v>Ingrid</v>
      </c>
      <c r="I167" s="4" t="s">
        <v>16</v>
      </c>
      <c r="J167" s="5" t="str">
        <f>Transferencia!L167</f>
        <v>433.924.848-73</v>
      </c>
      <c r="K167" s="5" t="str">
        <f>Transferencia!M167</f>
        <v>32.702.009/0001-30</v>
      </c>
      <c r="L167" s="5" t="s">
        <v>153</v>
      </c>
    </row>
    <row r="168" spans="1:12" ht="15.75" customHeight="1">
      <c r="A168" s="5" t="str">
        <f>Transferencia!A168</f>
        <v>23053851</v>
      </c>
      <c r="B168" s="5" t="str">
        <f>Transferencia!B168</f>
        <v>13/02/2025</v>
      </c>
      <c r="C168" s="5" t="str">
        <f>Transferencia!C168</f>
        <v>RAFAEL DJONES DOS ANJOS ALECRIM</v>
      </c>
      <c r="D168" s="5" t="str">
        <f>Transferencia!D168</f>
        <v>jh.contabilidade@hotmail.com</v>
      </c>
      <c r="E168" s="5" t="str">
        <f>Transferencia!G168</f>
        <v>5511988887738</v>
      </c>
      <c r="F168" s="5" t="str">
        <f>Transferencia!H168</f>
        <v xml:space="preserve">e-CNPJ A1 - PME </v>
      </c>
      <c r="G168" s="6" t="str">
        <f>Transferencia!J168</f>
        <v>PONTO DE ATENDIMENTO AR CERTIFAST - ANDROMEDA/SP</v>
      </c>
      <c r="H168" s="4" t="str">
        <f>VLOOKUP(G168,Página1!G:L,6,0)</f>
        <v>Rogério</v>
      </c>
      <c r="I168" s="4" t="s">
        <v>16</v>
      </c>
      <c r="J168" s="5" t="str">
        <f>Transferencia!L168</f>
        <v>380.744.348-77</v>
      </c>
      <c r="K168" s="5" t="str">
        <f>Transferencia!M168</f>
        <v>37.339.077/0001-09</v>
      </c>
      <c r="L168" s="5" t="s">
        <v>154</v>
      </c>
    </row>
    <row r="169" spans="1:12" ht="15.75" customHeight="1">
      <c r="A169" s="5" t="str">
        <f>Transferencia!A169</f>
        <v>23056599</v>
      </c>
      <c r="B169" s="5" t="str">
        <f>Transferencia!B169</f>
        <v>13/02/2025</v>
      </c>
      <c r="C169" s="5" t="str">
        <f>Transferencia!C169</f>
        <v>ERICA SGANZELA REIS</v>
      </c>
      <c r="D169" s="5" t="str">
        <f>Transferencia!D169</f>
        <v>coord.societario@reluzcontabil.com.br</v>
      </c>
      <c r="E169" s="5" t="str">
        <f>Transferencia!G169</f>
        <v>5511993573426</v>
      </c>
      <c r="F169" s="5" t="str">
        <f>Transferencia!H169</f>
        <v xml:space="preserve">e-CNPJ A1 - 1 ano </v>
      </c>
      <c r="G169" s="6" t="str">
        <f>Transferencia!J169</f>
        <v>Ponto de Atendimento AR Certifast - Maua Centro/SP</v>
      </c>
      <c r="H169" s="4" t="str">
        <f>VLOOKUP(G169,Página1!G:L,6,0)</f>
        <v>Ingrid</v>
      </c>
      <c r="I169" s="4" t="s">
        <v>16</v>
      </c>
      <c r="J169" s="5" t="str">
        <f>Transferencia!L169</f>
        <v>205.208.418-59</v>
      </c>
      <c r="K169" s="5" t="str">
        <f>Transferencia!M169</f>
        <v>11.606.632/0001-10</v>
      </c>
      <c r="L169" s="5" t="s">
        <v>155</v>
      </c>
    </row>
    <row r="170" spans="1:12" ht="15.75" customHeight="1">
      <c r="A170" s="5" t="str">
        <f>Transferencia!A170</f>
        <v>23056949</v>
      </c>
      <c r="B170" s="5" t="str">
        <f>Transferencia!B170</f>
        <v>13/02/2025</v>
      </c>
      <c r="C170" s="5" t="str">
        <f>Transferencia!C170</f>
        <v>GABRIEL PEREIRA CAMARGO</v>
      </c>
      <c r="D170" s="5" t="str">
        <f>Transferencia!D170</f>
        <v>gabrielpereiracamargo@hotmail.com</v>
      </c>
      <c r="E170" s="5" t="str">
        <f>Transferencia!G170</f>
        <v>5512981428952</v>
      </c>
      <c r="F170" s="5" t="str">
        <f>Transferencia!H170</f>
        <v xml:space="preserve">e-CNPJ A1 - PME </v>
      </c>
      <c r="G170" s="6" t="str">
        <f>Transferencia!J170</f>
        <v>PONTO DE ATENDIMENTO AR CERTIFAST - ANDROMEDA/SP</v>
      </c>
      <c r="H170" s="4" t="str">
        <f>VLOOKUP(G170,Página1!G:L,6,0)</f>
        <v>Rogério</v>
      </c>
      <c r="I170" s="4" t="s">
        <v>16</v>
      </c>
      <c r="J170" s="5" t="str">
        <f>Transferencia!L170</f>
        <v>413.294.588-00</v>
      </c>
      <c r="K170" s="5" t="str">
        <f>Transferencia!M170</f>
        <v>51.931.773/0001-22</v>
      </c>
      <c r="L170" s="5" t="s">
        <v>156</v>
      </c>
    </row>
    <row r="171" spans="1:12" ht="15.75" customHeight="1">
      <c r="A171" s="5" t="str">
        <f>Transferencia!A171</f>
        <v>23056965</v>
      </c>
      <c r="B171" s="5" t="str">
        <f>Transferencia!B171</f>
        <v>13/02/2025</v>
      </c>
      <c r="C171" s="5" t="str">
        <f>Transferencia!C171</f>
        <v>SIMONE ALVES PEREIRA</v>
      </c>
      <c r="D171" s="5" t="str">
        <f>Transferencia!D171</f>
        <v>zanottoequip@novaprotect.com.br</v>
      </c>
      <c r="E171" s="5" t="str">
        <f>Transferencia!G171</f>
        <v>5511941427465</v>
      </c>
      <c r="F171" s="5" t="str">
        <f>Transferencia!H171</f>
        <v xml:space="preserve">e-CNPJ A1 - 1 ano </v>
      </c>
      <c r="G171" s="6" t="str">
        <f>Transferencia!J171</f>
        <v>AR Certifast</v>
      </c>
      <c r="H171" s="4" t="str">
        <f>VLOOKUP(G171,Página1!G:L,6,0)</f>
        <v>Alexandre</v>
      </c>
      <c r="I171" s="4" t="s">
        <v>16</v>
      </c>
      <c r="J171" s="5" t="str">
        <f>Transferencia!L171</f>
        <v>290.023.348-85</v>
      </c>
      <c r="K171" s="5" t="str">
        <f>Transferencia!M171</f>
        <v>53.593.375/0001-79</v>
      </c>
      <c r="L171" s="5" t="s">
        <v>157</v>
      </c>
    </row>
    <row r="172" spans="1:12" ht="15.75" customHeight="1">
      <c r="A172" s="5" t="str">
        <f>Transferencia!A172</f>
        <v>23058249</v>
      </c>
      <c r="B172" s="5" t="str">
        <f>Transferencia!B172</f>
        <v>13/02/2025</v>
      </c>
      <c r="C172" s="5" t="str">
        <f>Transferencia!C172</f>
        <v>ERICA SGANZELA REIS</v>
      </c>
      <c r="D172" s="5" t="str">
        <f>Transferencia!D172</f>
        <v>coord.societario@reluzcontabil.com.br</v>
      </c>
      <c r="E172" s="5" t="str">
        <f>Transferencia!G172</f>
        <v>5511993573426</v>
      </c>
      <c r="F172" s="5" t="str">
        <f>Transferencia!H172</f>
        <v xml:space="preserve">e-CNPJ A1 - 1 ano </v>
      </c>
      <c r="G172" s="6" t="str">
        <f>Transferencia!J172</f>
        <v>Ponto de Atendimento AR Certifast - Maua Centro/SP</v>
      </c>
      <c r="H172" s="4" t="str">
        <f>VLOOKUP(G172,Página1!G:L,6,0)</f>
        <v>Ingrid</v>
      </c>
      <c r="I172" s="4" t="s">
        <v>16</v>
      </c>
      <c r="J172" s="5" t="str">
        <f>Transferencia!L172</f>
        <v>205.208.418-59</v>
      </c>
      <c r="K172" s="5" t="str">
        <f>Transferencia!M172</f>
        <v>11.606.632/0002-09</v>
      </c>
      <c r="L172" s="5"/>
    </row>
    <row r="173" spans="1:12" ht="15.75" customHeight="1">
      <c r="A173" s="5" t="str">
        <f>Transferencia!A173</f>
        <v>23060050</v>
      </c>
      <c r="B173" s="5" t="str">
        <f>Transferencia!B173</f>
        <v>13/02/2025</v>
      </c>
      <c r="C173" s="5" t="str">
        <f>Transferencia!C173</f>
        <v>ELIANE DE OLIVEIRA SILVA RIBEIRO</v>
      </c>
      <c r="D173" s="5" t="str">
        <f>Transferencia!D173</f>
        <v>rrmolas@hotmail.com</v>
      </c>
      <c r="E173" s="5" t="str">
        <f>Transferencia!G173</f>
        <v>551145436567</v>
      </c>
      <c r="F173" s="5" t="str">
        <f>Transferencia!H173</f>
        <v xml:space="preserve">e-CNPJ A1 - 1 ano </v>
      </c>
      <c r="G173" s="6" t="str">
        <f>Transferencia!J173</f>
        <v>Ponto de Atendimento AR Certifast - Maua Centro/SP</v>
      </c>
      <c r="H173" s="4" t="str">
        <f>VLOOKUP(G173,Página1!G:L,6,0)</f>
        <v>Ingrid</v>
      </c>
      <c r="I173" s="4" t="s">
        <v>16</v>
      </c>
      <c r="J173" s="5" t="str">
        <f>Transferencia!L173</f>
        <v>140.491.528-19</v>
      </c>
      <c r="K173" s="5" t="str">
        <f>Transferencia!M173</f>
        <v>08.196.616/0001-91</v>
      </c>
      <c r="L173" s="5"/>
    </row>
    <row r="174" spans="1:12" ht="15.75" customHeight="1">
      <c r="A174" s="5" t="str">
        <f>Transferencia!A174</f>
        <v>23061464</v>
      </c>
      <c r="B174" s="5" t="str">
        <f>Transferencia!B174</f>
        <v>13/02/2025</v>
      </c>
      <c r="C174" s="5" t="str">
        <f>Transferencia!C174</f>
        <v>GERSON ALVES DE SOUZA JUNIOR</v>
      </c>
      <c r="D174" s="5" t="str">
        <f>Transferencia!D174</f>
        <v>motorsoriente@gmail.com</v>
      </c>
      <c r="E174" s="5" t="str">
        <f>Transferencia!G174</f>
        <v>5511988417676</v>
      </c>
      <c r="F174" s="5" t="str">
        <f>Transferencia!H174</f>
        <v xml:space="preserve">e-CNPJ A1 - 1 ano </v>
      </c>
      <c r="G174" s="6" t="str">
        <f>Transferencia!J174</f>
        <v>Ponto de Atendimento AR Certifast - Maua Centro/SP</v>
      </c>
      <c r="H174" s="4" t="str">
        <f>VLOOKUP(G174,Página1!G:L,6,0)</f>
        <v>Ingrid</v>
      </c>
      <c r="I174" s="4" t="s">
        <v>16</v>
      </c>
      <c r="J174" s="5" t="str">
        <f>Transferencia!L174</f>
        <v>291.594.968-94</v>
      </c>
      <c r="K174" s="5" t="str">
        <f>Transferencia!M174</f>
        <v>45.206.428/0001-23</v>
      </c>
      <c r="L174" s="5"/>
    </row>
    <row r="175" spans="1:12" ht="15.75" customHeight="1">
      <c r="A175" s="5" t="str">
        <f>Transferencia!A175</f>
        <v>23065249</v>
      </c>
      <c r="B175" s="5" t="str">
        <f>Transferencia!B175</f>
        <v>13/02/2025</v>
      </c>
      <c r="C175" s="5" t="str">
        <f>Transferencia!C175</f>
        <v>JEOVAN SILVA SANTOS</v>
      </c>
      <c r="D175" s="5" t="str">
        <f>Transferencia!D175</f>
        <v>convencaocime@gmail.com</v>
      </c>
      <c r="E175" s="5" t="str">
        <f>Transferencia!G175</f>
        <v>5511998038754</v>
      </c>
      <c r="F175" s="5" t="str">
        <f>Transferencia!H175</f>
        <v xml:space="preserve">e-CNPJ A1 - 1 ano </v>
      </c>
      <c r="G175" s="6" t="str">
        <f>Transferencia!J175</f>
        <v>AR Certifast</v>
      </c>
      <c r="H175" s="4" t="str">
        <f>VLOOKUP(G175,Página1!G:L,6,0)</f>
        <v>Alexandre</v>
      </c>
      <c r="I175" s="4" t="s">
        <v>16</v>
      </c>
      <c r="J175" s="5" t="str">
        <f>Transferencia!L175</f>
        <v>310.505.538-02</v>
      </c>
      <c r="K175" s="5" t="str">
        <f>Transferencia!M175</f>
        <v>52.530.120/0001-02</v>
      </c>
      <c r="L175" s="5" t="s">
        <v>159</v>
      </c>
    </row>
    <row r="176" spans="1:12" ht="15.75" customHeight="1">
      <c r="A176" s="5" t="str">
        <f>Transferencia!A176</f>
        <v>20028487</v>
      </c>
      <c r="B176" s="5" t="str">
        <f>Transferencia!B176</f>
        <v>14/02/2025</v>
      </c>
      <c r="C176" s="5" t="str">
        <f>Transferencia!C176</f>
        <v>VANESSA CARDOSO</v>
      </c>
      <c r="D176" s="5" t="str">
        <f>Transferencia!D176</f>
        <v>MARCONTABILIDADE@TERRA.COM.BR</v>
      </c>
      <c r="E176" s="5" t="str">
        <f>Transferencia!G176</f>
        <v>5513988235758</v>
      </c>
      <c r="F176" s="5" t="str">
        <f>Transferencia!H176</f>
        <v xml:space="preserve">e-CNPJ A3 - 3 anos </v>
      </c>
      <c r="G176" s="6" t="str">
        <f>Transferencia!J176</f>
        <v>Ponto de Atendimento AR Certifast - Pauliceia/SP</v>
      </c>
      <c r="H176" s="4" t="str">
        <f>VLOOKUP(G176,Página1!G:L,6,0)</f>
        <v>Alexandre</v>
      </c>
      <c r="I176" s="4" t="s">
        <v>16</v>
      </c>
      <c r="J176" s="5" t="str">
        <f>Transferencia!L176</f>
        <v>255.760.418-60</v>
      </c>
      <c r="K176" s="5" t="str">
        <f>Transferencia!M176</f>
        <v>50.145.093/0001-10</v>
      </c>
      <c r="L176" s="5" t="s">
        <v>160</v>
      </c>
    </row>
    <row r="177" spans="1:12" ht="15.75" customHeight="1">
      <c r="A177" s="5" t="str">
        <f>Transferencia!A177</f>
        <v>20057804</v>
      </c>
      <c r="B177" s="5" t="str">
        <f>Transferencia!B177</f>
        <v>14/02/2025</v>
      </c>
      <c r="C177" s="5" t="str">
        <f>Transferencia!C177</f>
        <v>MARINA PASSAGLI VALENTE GALLO</v>
      </c>
      <c r="D177" s="5" t="str">
        <f>Transferencia!D177</f>
        <v>RRVCOMAL@GMAIL.COM</v>
      </c>
      <c r="E177" s="5" t="str">
        <f>Transferencia!G177</f>
        <v>5531992341305</v>
      </c>
      <c r="F177" s="5" t="str">
        <f>Transferencia!H177</f>
        <v xml:space="preserve">e-CNPJ A3 - 3 anos </v>
      </c>
      <c r="G177" s="6" t="str">
        <f>Transferencia!J177</f>
        <v>Ponto de Atendimento AR Certifast - Prado BH/MG</v>
      </c>
      <c r="H177" s="4" t="str">
        <f>VLOOKUP(G177,Página1!G:L,6,0)</f>
        <v>Isabella</v>
      </c>
      <c r="I177" s="4" t="s">
        <v>16</v>
      </c>
      <c r="J177" s="5" t="str">
        <f>Transferencia!L177</f>
        <v>058.887.016-10</v>
      </c>
      <c r="K177" s="5" t="str">
        <f>Transferencia!M177</f>
        <v>08.182.225/0001-18</v>
      </c>
      <c r="L177" s="5"/>
    </row>
    <row r="178" spans="1:12" ht="15.75" customHeight="1">
      <c r="A178" s="5" t="str">
        <f>Transferencia!A178</f>
        <v>20091258</v>
      </c>
      <c r="B178" s="5" t="str">
        <f>Transferencia!B178</f>
        <v>14/02/2025</v>
      </c>
      <c r="C178" s="5" t="str">
        <f>Transferencia!C178</f>
        <v>LEONARDO GUIMARAES MOREIRA</v>
      </c>
      <c r="D178" s="5" t="str">
        <f>Transferencia!D178</f>
        <v>leonardo.moreira@tjmg.jus.br</v>
      </c>
      <c r="E178" s="5" t="str">
        <f>Transferencia!G178</f>
        <v>5535984414149</v>
      </c>
      <c r="F178" s="5" t="str">
        <f>Transferencia!H178</f>
        <v xml:space="preserve">e-CPF A3 - 3 anos </v>
      </c>
      <c r="G178" s="6" t="str">
        <f>Transferencia!J178</f>
        <v>Ponto de Atendimento AR Certifast - Prado BH/MG - JUS</v>
      </c>
      <c r="H178" s="4" t="str">
        <f>VLOOKUP(G178,Página1!G:L,6,0)</f>
        <v>Isabella</v>
      </c>
      <c r="I178" s="4" t="s">
        <v>16</v>
      </c>
      <c r="J178" s="5" t="str">
        <f>Transferencia!L178</f>
        <v>033.422.276-13</v>
      </c>
      <c r="K178" s="5" t="str">
        <f>Transferencia!M178</f>
        <v/>
      </c>
      <c r="L178" s="5"/>
    </row>
    <row r="179" spans="1:12" ht="15.75" customHeight="1">
      <c r="A179" s="5" t="str">
        <f>Transferencia!A179</f>
        <v>22984475</v>
      </c>
      <c r="B179" s="5" t="str">
        <f>Transferencia!B179</f>
        <v>14/02/2025</v>
      </c>
      <c r="C179" s="5" t="str">
        <f>Transferencia!C179</f>
        <v>RODRIGO ALVES FERREIRA</v>
      </c>
      <c r="D179" s="5" t="str">
        <f>Transferencia!D179</f>
        <v>alvesferreirarodrigo1@gmail.com</v>
      </c>
      <c r="E179" s="5" t="str">
        <f>Transferencia!G179</f>
        <v>5511940083696</v>
      </c>
      <c r="F179" s="5" t="str">
        <f>Transferencia!H179</f>
        <v xml:space="preserve">e-CNPJ A1 - PME </v>
      </c>
      <c r="G179" s="6" t="str">
        <f>Transferencia!J179</f>
        <v>PONTO DE ATENDIMENTO AR CERTIFAST - CARIJOS - STA/SP</v>
      </c>
      <c r="H179" s="4" t="str">
        <f>VLOOKUP(G179,Página1!G:L,6,0)</f>
        <v>Alexandre</v>
      </c>
      <c r="I179" s="4" t="s">
        <v>16</v>
      </c>
      <c r="J179" s="5" t="str">
        <f>Transferencia!L179</f>
        <v>335.410.818-56</v>
      </c>
      <c r="K179" s="5" t="str">
        <f>Transferencia!M179</f>
        <v>45.144.048/0001-01</v>
      </c>
      <c r="L179" s="5" t="s">
        <v>161</v>
      </c>
    </row>
    <row r="180" spans="1:12" ht="15.75" customHeight="1">
      <c r="A180" s="5" t="str">
        <f>Transferencia!A180</f>
        <v>22985886</v>
      </c>
      <c r="B180" s="5" t="str">
        <f>Transferencia!B180</f>
        <v>14/02/2025</v>
      </c>
      <c r="C180" s="5" t="str">
        <f>Transferencia!C180</f>
        <v>MARCIA CAMARA DE CASTRO OLIVEIRA BELLOTTI</v>
      </c>
      <c r="D180" s="5" t="str">
        <f>Transferencia!D180</f>
        <v>jh.contabilidade@hotmail.com</v>
      </c>
      <c r="E180" s="5" t="str">
        <f>Transferencia!G180</f>
        <v>5511976777132</v>
      </c>
      <c r="F180" s="5" t="str">
        <f>Transferencia!H180</f>
        <v xml:space="preserve">e-CNPJ A1 - PME </v>
      </c>
      <c r="G180" s="6" t="str">
        <f>Transferencia!J180</f>
        <v>PONTO DE ATENDIMENTO AR CERTIFAST - ANDROMEDA/SP</v>
      </c>
      <c r="H180" s="4" t="str">
        <f>VLOOKUP(G180,Página1!G:L,6,0)</f>
        <v>Rogério</v>
      </c>
      <c r="I180" s="4" t="s">
        <v>16</v>
      </c>
      <c r="J180" s="5" t="str">
        <f>Transferencia!L180</f>
        <v>886.679.287-04</v>
      </c>
      <c r="K180" s="5" t="str">
        <f>Transferencia!M180</f>
        <v>44.945.599/0001-01</v>
      </c>
      <c r="L180" s="5" t="s">
        <v>162</v>
      </c>
    </row>
    <row r="181" spans="1:12" ht="15.75" customHeight="1">
      <c r="A181" s="5" t="str">
        <f>Transferencia!A181</f>
        <v>23021458</v>
      </c>
      <c r="B181" s="5" t="str">
        <f>Transferencia!B181</f>
        <v>14/02/2025</v>
      </c>
      <c r="C181" s="5" t="str">
        <f>Transferencia!C181</f>
        <v>DALTON PIRES DEL OLMO</v>
      </c>
      <c r="D181" s="5" t="str">
        <f>Transferencia!D181</f>
        <v>cleia@alindustria.com.br</v>
      </c>
      <c r="E181" s="5" t="str">
        <f>Transferencia!G181</f>
        <v>5511983839002</v>
      </c>
      <c r="F181" s="5" t="str">
        <f>Transferencia!H181</f>
        <v xml:space="preserve">e-CNPJ A1 - 1 ano </v>
      </c>
      <c r="G181" s="6" t="str">
        <f>Transferencia!J181</f>
        <v>AR Certifast</v>
      </c>
      <c r="H181" s="4" t="str">
        <f>VLOOKUP(G181,Página1!G:L,6,0)</f>
        <v>Alexandre</v>
      </c>
      <c r="I181" s="4" t="s">
        <v>16</v>
      </c>
      <c r="J181" s="5" t="str">
        <f>Transferencia!L181</f>
        <v>269.798.278-71</v>
      </c>
      <c r="K181" s="5" t="str">
        <f>Transferencia!M181</f>
        <v>44.190.799/0001-00</v>
      </c>
      <c r="L181" s="5" t="s">
        <v>163</v>
      </c>
    </row>
    <row r="182" spans="1:12" ht="15.75" customHeight="1">
      <c r="A182" s="5" t="str">
        <f>Transferencia!A182</f>
        <v>23023080</v>
      </c>
      <c r="B182" s="5" t="str">
        <f>Transferencia!B182</f>
        <v>14/02/2025</v>
      </c>
      <c r="C182" s="5" t="str">
        <f>Transferencia!C182</f>
        <v>DANIEL CARLOS HONORIO DA SILVA</v>
      </c>
      <c r="D182" s="5" t="str">
        <f>Transferencia!D182</f>
        <v>brenda.bulgarelli@biocontabil.com.br</v>
      </c>
      <c r="E182" s="5" t="str">
        <f>Transferencia!G182</f>
        <v>5511998007650</v>
      </c>
      <c r="F182" s="5" t="str">
        <f>Transferencia!H182</f>
        <v xml:space="preserve">e-CNPJ A1 - PME </v>
      </c>
      <c r="G182" s="6" t="str">
        <f>Transferencia!J182</f>
        <v>PONTO DE ATENDIMENTO AR CERTIFAST - ANDROMEDA/SP</v>
      </c>
      <c r="H182" s="4" t="str">
        <f>VLOOKUP(G182,Página1!G:L,6,0)</f>
        <v>Rogério</v>
      </c>
      <c r="I182" s="4" t="s">
        <v>16</v>
      </c>
      <c r="J182" s="5" t="str">
        <f>Transferencia!L182</f>
        <v>151.608.788-74</v>
      </c>
      <c r="K182" s="5" t="str">
        <f>Transferencia!M182</f>
        <v>53.502.678/0001-39</v>
      </c>
      <c r="L182" s="5" t="s">
        <v>164</v>
      </c>
    </row>
    <row r="183" spans="1:12" ht="15.75" customHeight="1">
      <c r="A183" s="5" t="str">
        <f>Transferencia!A183</f>
        <v>23038340</v>
      </c>
      <c r="B183" s="5" t="str">
        <f>Transferencia!B183</f>
        <v>14/02/2025</v>
      </c>
      <c r="C183" s="5" t="str">
        <f>Transferencia!C183</f>
        <v>LEANDRO NOBREGA DE MELO</v>
      </c>
      <c r="D183" s="5" t="str">
        <f>Transferencia!D183</f>
        <v>robertogazola.rg@gmail.com</v>
      </c>
      <c r="E183" s="5" t="str">
        <f>Transferencia!G183</f>
        <v>5511969406163</v>
      </c>
      <c r="F183" s="5" t="str">
        <f>Transferencia!H183</f>
        <v xml:space="preserve">e-CNPJ A1 - PME </v>
      </c>
      <c r="G183" s="6" t="str">
        <f>Transferencia!J183</f>
        <v>PONTO DE ATENDIMENTO AR CERTIFAST - ANDROMEDA/SP</v>
      </c>
      <c r="H183" s="4" t="str">
        <f>VLOOKUP(G183,Página1!G:L,6,0)</f>
        <v>Rogério</v>
      </c>
      <c r="I183" s="4" t="s">
        <v>16</v>
      </c>
      <c r="J183" s="5" t="str">
        <f>Transferencia!L183</f>
        <v>297.535.278-61</v>
      </c>
      <c r="K183" s="5" t="str">
        <f>Transferencia!M183</f>
        <v>35.947.924/0001-84</v>
      </c>
      <c r="L183" s="5" t="s">
        <v>165</v>
      </c>
    </row>
    <row r="184" spans="1:12" ht="15.75" customHeight="1">
      <c r="A184" s="5" t="str">
        <f>Transferencia!A184</f>
        <v>23044308</v>
      </c>
      <c r="B184" s="5" t="str">
        <f>Transferencia!B184</f>
        <v>14/02/2025</v>
      </c>
      <c r="C184" s="5" t="str">
        <f>Transferencia!C184</f>
        <v>ANDRESSA LEANDRA DE OLIVEIRA</v>
      </c>
      <c r="D184" s="5" t="str">
        <f>Transferencia!D184</f>
        <v>lojababytour@gmail.com</v>
      </c>
      <c r="E184" s="5" t="str">
        <f>Transferencia!G184</f>
        <v>5512982138684</v>
      </c>
      <c r="F184" s="5" t="str">
        <f>Transferencia!H184</f>
        <v xml:space="preserve">e-CNPJ A1 - 1 ano </v>
      </c>
      <c r="G184" s="6" t="str">
        <f>Transferencia!J184</f>
        <v>PONTO DE ATENDIMENTO AR CERTIFAST - ANDROMEDA/SP</v>
      </c>
      <c r="H184" s="4" t="str">
        <f>VLOOKUP(G184,Página1!G:L,6,0)</f>
        <v>Rogério</v>
      </c>
      <c r="I184" s="4" t="s">
        <v>16</v>
      </c>
      <c r="J184" s="5" t="str">
        <f>Transferencia!L184</f>
        <v>384.836.278-33</v>
      </c>
      <c r="K184" s="5" t="str">
        <f>Transferencia!M184</f>
        <v>48.417.738/0001-85</v>
      </c>
      <c r="L184" s="5" t="s">
        <v>166</v>
      </c>
    </row>
    <row r="185" spans="1:12" ht="15.75" customHeight="1">
      <c r="A185" s="5" t="str">
        <f>Transferencia!A185</f>
        <v>23049748</v>
      </c>
      <c r="B185" s="5" t="str">
        <f>Transferencia!B185</f>
        <v>14/02/2025</v>
      </c>
      <c r="C185" s="5" t="str">
        <f>Transferencia!C185</f>
        <v>RAPHAEL HENRIQUE CREPALDI</v>
      </c>
      <c r="D185" s="5" t="str">
        <f>Transferencia!D185</f>
        <v>jh.contabilidade@hotmail.com</v>
      </c>
      <c r="E185" s="5" t="str">
        <f>Transferencia!G185</f>
        <v>5511970267987</v>
      </c>
      <c r="F185" s="5" t="str">
        <f>Transferencia!H185</f>
        <v xml:space="preserve">e-CNPJ A1 - PME </v>
      </c>
      <c r="G185" s="6" t="str">
        <f>Transferencia!J185</f>
        <v>PONTO DE ATENDIMENTO AR CERTIFAST - ANDROMEDA/SP</v>
      </c>
      <c r="H185" s="4" t="str">
        <f>VLOOKUP(G185,Página1!G:L,6,0)</f>
        <v>Rogério</v>
      </c>
      <c r="I185" s="4" t="s">
        <v>16</v>
      </c>
      <c r="J185" s="5" t="str">
        <f>Transferencia!L185</f>
        <v>342.765.448-66</v>
      </c>
      <c r="K185" s="5" t="str">
        <f>Transferencia!M185</f>
        <v>37.533.921/0001-20</v>
      </c>
      <c r="L185" s="5" t="s">
        <v>167</v>
      </c>
    </row>
    <row r="186" spans="1:12" ht="15.75" customHeight="1">
      <c r="A186" s="5" t="str">
        <f>Transferencia!A186</f>
        <v>23056054</v>
      </c>
      <c r="B186" s="5" t="str">
        <f>Transferencia!B186</f>
        <v>14/02/2025</v>
      </c>
      <c r="C186" s="5" t="str">
        <f>Transferencia!C186</f>
        <v>NATIELLY DANIG MADEIRA</v>
      </c>
      <c r="D186" s="5" t="str">
        <f>Transferencia!D186</f>
        <v>natydanig@yahoo.com.br</v>
      </c>
      <c r="E186" s="5" t="str">
        <f>Transferencia!G186</f>
        <v>5531995892002</v>
      </c>
      <c r="F186" s="5" t="str">
        <f>Transferencia!H186</f>
        <v xml:space="preserve">e-CNPJ A1 - PME </v>
      </c>
      <c r="G186" s="6" t="str">
        <f>Transferencia!J186</f>
        <v>Ponto de Atendimento AR Certifast - Prado BH/MG</v>
      </c>
      <c r="H186" s="4" t="str">
        <f>VLOOKUP(G186,Página1!G:L,6,0)</f>
        <v>Isabella</v>
      </c>
      <c r="I186" s="4" t="s">
        <v>16</v>
      </c>
      <c r="J186" s="5" t="str">
        <f>Transferencia!L186</f>
        <v>083.285.326-70</v>
      </c>
      <c r="K186" s="5" t="str">
        <f>Transferencia!M186</f>
        <v>17.654.149/0001-97</v>
      </c>
      <c r="L186" s="5"/>
    </row>
    <row r="187" spans="1:12" ht="15.75" customHeight="1">
      <c r="A187" s="5" t="str">
        <f>Transferencia!A187</f>
        <v>23062160</v>
      </c>
      <c r="B187" s="5" t="str">
        <f>Transferencia!B187</f>
        <v>14/02/2025</v>
      </c>
      <c r="C187" s="5" t="str">
        <f>Transferencia!C187</f>
        <v>GLAUCIO PAIVA ATHAYDE</v>
      </c>
      <c r="D187" s="5" t="str">
        <f>Transferencia!D187</f>
        <v>jh.contabilidade@hotmail.com</v>
      </c>
      <c r="E187" s="5" t="str">
        <f>Transferencia!G187</f>
        <v>5521996847000</v>
      </c>
      <c r="F187" s="5" t="str">
        <f>Transferencia!H187</f>
        <v xml:space="preserve">e-CNPJ A1 - 1 ano </v>
      </c>
      <c r="G187" s="6" t="str">
        <f>Transferencia!J187</f>
        <v>PONTO DE ATENDIMENTO AR CERTIFAST - ANDROMEDA/SP</v>
      </c>
      <c r="H187" s="4" t="str">
        <f>VLOOKUP(G187,Página1!G:L,6,0)</f>
        <v>Rogério</v>
      </c>
      <c r="I187" s="4" t="s">
        <v>16</v>
      </c>
      <c r="J187" s="5" t="str">
        <f>Transferencia!L187</f>
        <v>068.409.047-33</v>
      </c>
      <c r="K187" s="5" t="str">
        <f>Transferencia!M187</f>
        <v>35.521.458/0001-70</v>
      </c>
      <c r="L187" s="5"/>
    </row>
    <row r="188" spans="1:12" ht="15.75" customHeight="1">
      <c r="A188" s="5" t="str">
        <f>Transferencia!A188</f>
        <v>23064284</v>
      </c>
      <c r="B188" s="5" t="str">
        <f>Transferencia!B188</f>
        <v>14/02/2025</v>
      </c>
      <c r="C188" s="5" t="str">
        <f>Transferencia!C188</f>
        <v>BRUNA GUEDES VIRGILIO</v>
      </c>
      <c r="D188" s="5" t="str">
        <f>Transferencia!D188</f>
        <v>contabilidade@oticasolarium.com.br</v>
      </c>
      <c r="E188" s="5" t="str">
        <f>Transferencia!G188</f>
        <v>5511972856697</v>
      </c>
      <c r="F188" s="5" t="str">
        <f>Transferencia!H188</f>
        <v xml:space="preserve">e-CNPJ A1 - 1 ano </v>
      </c>
      <c r="G188" s="6" t="str">
        <f>Transferencia!J188</f>
        <v>AR Certifast</v>
      </c>
      <c r="H188" s="4" t="str">
        <f>VLOOKUP(G188,Página1!G:L,6,0)</f>
        <v>Alexandre</v>
      </c>
      <c r="I188" s="4" t="s">
        <v>16</v>
      </c>
      <c r="J188" s="5" t="str">
        <f>Transferencia!L188</f>
        <v>411.590.008-32</v>
      </c>
      <c r="K188" s="5" t="str">
        <f>Transferencia!M188</f>
        <v>45.123.914/0001-88</v>
      </c>
      <c r="L188" s="5"/>
    </row>
    <row r="189" spans="1:12" ht="15.75" customHeight="1">
      <c r="A189" s="5" t="str">
        <f>Transferencia!A189</f>
        <v>23064337</v>
      </c>
      <c r="B189" s="5" t="str">
        <f>Transferencia!B189</f>
        <v>14/02/2025</v>
      </c>
      <c r="C189" s="5" t="str">
        <f>Transferencia!C189</f>
        <v>SHEYLA DA SILVA GOMES AUGUSTO</v>
      </c>
      <c r="D189" s="5" t="str">
        <f>Transferencia!D189</f>
        <v>montanini@montanini.com.br</v>
      </c>
      <c r="E189" s="5" t="str">
        <f>Transferencia!G189</f>
        <v>5511971878787</v>
      </c>
      <c r="F189" s="5" t="str">
        <f>Transferencia!H189</f>
        <v>e-PJ  A1 - 1 ano</v>
      </c>
      <c r="G189" s="6" t="str">
        <f>Transferencia!J189</f>
        <v>AR Certifast</v>
      </c>
      <c r="H189" s="4" t="str">
        <f>VLOOKUP(G189,Página1!G:L,6,0)</f>
        <v>Alexandre</v>
      </c>
      <c r="I189" s="4" t="s">
        <v>16</v>
      </c>
      <c r="J189" s="5" t="str">
        <f>Transferencia!L189</f>
        <v>246.791.838-61</v>
      </c>
      <c r="K189" s="5" t="str">
        <f>Transferencia!M189</f>
        <v>13.754.034/0001-13</v>
      </c>
      <c r="L189" s="5" t="s">
        <v>168</v>
      </c>
    </row>
    <row r="190" spans="1:12" ht="15.75" customHeight="1">
      <c r="A190" s="5" t="str">
        <f>Transferencia!A190</f>
        <v>23064872</v>
      </c>
      <c r="B190" s="5" t="str">
        <f>Transferencia!B190</f>
        <v>14/02/2025</v>
      </c>
      <c r="C190" s="5" t="str">
        <f>Transferencia!C190</f>
        <v>FABIO RONALD PACOR RODRIGUES</v>
      </c>
      <c r="D190" s="5" t="str">
        <f>Transferencia!D190</f>
        <v>fpacor@uol.com.br</v>
      </c>
      <c r="E190" s="5" t="str">
        <f>Transferencia!G190</f>
        <v>55</v>
      </c>
      <c r="F190" s="5" t="str">
        <f>Transferencia!H190</f>
        <v xml:space="preserve">e-CPF A1 - 1 ano </v>
      </c>
      <c r="G190" s="6" t="str">
        <f>Transferencia!J190</f>
        <v>PONTO DE ATENDIMENTO AR CERTIFAST - ANDROMEDA/SP</v>
      </c>
      <c r="H190" s="4" t="str">
        <f>VLOOKUP(G190,Página1!G:L,6,0)</f>
        <v>Rogério</v>
      </c>
      <c r="I190" s="4" t="s">
        <v>16</v>
      </c>
      <c r="J190" s="5" t="str">
        <f>Transferencia!L190</f>
        <v>173.025.948-05</v>
      </c>
      <c r="K190" s="5" t="str">
        <f>Transferencia!M190</f>
        <v/>
      </c>
      <c r="L190" s="5" t="s">
        <v>169</v>
      </c>
    </row>
    <row r="191" spans="1:12" ht="15.75" customHeight="1">
      <c r="A191" s="5" t="str">
        <f>Transferencia!A191</f>
        <v>23066050</v>
      </c>
      <c r="B191" s="5" t="str">
        <f>Transferencia!B191</f>
        <v>14/02/2025</v>
      </c>
      <c r="C191" s="5" t="str">
        <f>Transferencia!C191</f>
        <v>LUIZ ANTONIO DA SILVA VITALI</v>
      </c>
      <c r="D191" s="5" t="str">
        <f>Transferencia!D191</f>
        <v>coord.societario@reluzcontabil.com.br</v>
      </c>
      <c r="E191" s="5" t="str">
        <f>Transferencia!G191</f>
        <v>5511982176872</v>
      </c>
      <c r="F191" s="5" t="str">
        <f>Transferencia!H191</f>
        <v xml:space="preserve">e-CNPJ A1 - PME </v>
      </c>
      <c r="G191" s="6" t="str">
        <f>Transferencia!J191</f>
        <v>Ponto de Atendimento AR Certifast - Maua Centro/SP</v>
      </c>
      <c r="H191" s="4" t="str">
        <f>VLOOKUP(G191,Página1!G:L,6,0)</f>
        <v>Ingrid</v>
      </c>
      <c r="I191" s="4" t="s">
        <v>16</v>
      </c>
      <c r="J191" s="5" t="str">
        <f>Transferencia!L191</f>
        <v>275.823.178-66</v>
      </c>
      <c r="K191" s="5" t="str">
        <f>Transferencia!M191</f>
        <v>53.721.870/0001-16</v>
      </c>
      <c r="L191" s="5" t="s">
        <v>170</v>
      </c>
    </row>
    <row r="192" spans="1:12" ht="15.75" customHeight="1">
      <c r="A192" s="5" t="str">
        <f>Transferencia!A192</f>
        <v>23066853</v>
      </c>
      <c r="B192" s="5" t="str">
        <f>Transferencia!B192</f>
        <v>14/02/2025</v>
      </c>
      <c r="C192" s="5" t="str">
        <f>Transferencia!C192</f>
        <v>CAIO VICTOR MENDES PAULA</v>
      </c>
      <c r="D192" s="5" t="str">
        <f>Transferencia!D192</f>
        <v>victor.caio@outlook.com</v>
      </c>
      <c r="E192" s="5" t="str">
        <f>Transferencia!G192</f>
        <v>5512982671485</v>
      </c>
      <c r="F192" s="5" t="str">
        <f>Transferencia!H192</f>
        <v xml:space="preserve">e-CNPJ A1 - 1 ano </v>
      </c>
      <c r="G192" s="6" t="str">
        <f>Transferencia!J192</f>
        <v>PONTO DE ATENDIMENTO AR CERTIFAST - ANDROMEDA/SP</v>
      </c>
      <c r="H192" s="4" t="str">
        <f>VLOOKUP(G192,Página1!G:L,6,0)</f>
        <v>Rogério</v>
      </c>
      <c r="I192" s="4" t="s">
        <v>16</v>
      </c>
      <c r="J192" s="5" t="str">
        <f>Transferencia!L192</f>
        <v>434.374.268-77</v>
      </c>
      <c r="K192" s="5" t="str">
        <f>Transferencia!M192</f>
        <v>53.530.570/0001-50</v>
      </c>
      <c r="L192" s="5" t="s">
        <v>171</v>
      </c>
    </row>
    <row r="193" spans="1:12" ht="15.75" customHeight="1">
      <c r="A193" s="5" t="str">
        <f>Transferencia!A193</f>
        <v>23067108</v>
      </c>
      <c r="B193" s="5" t="str">
        <f>Transferencia!B193</f>
        <v>14/02/2025</v>
      </c>
      <c r="C193" s="5" t="str">
        <f>Transferencia!C193</f>
        <v>RENATA KIMIE IWAMOTO</v>
      </c>
      <c r="D193" s="5" t="str">
        <f>Transferencia!D193</f>
        <v>rafaelmarrese@gmail.com</v>
      </c>
      <c r="E193" s="5" t="str">
        <f>Transferencia!G193</f>
        <v>5511967172420</v>
      </c>
      <c r="F193" s="5" t="str">
        <f>Transferencia!H193</f>
        <v xml:space="preserve">e-CPF A1 - 1 ano </v>
      </c>
      <c r="G193" s="6" t="str">
        <f>Transferencia!J193</f>
        <v>PONTO DE ATENDIMENTO AR CERTIFAST - ANDROMEDA/SP</v>
      </c>
      <c r="H193" s="4" t="str">
        <f>VLOOKUP(G193,Página1!G:L,6,0)</f>
        <v>Rogério</v>
      </c>
      <c r="I193" s="4" t="s">
        <v>16</v>
      </c>
      <c r="J193" s="5" t="str">
        <f>Transferencia!L193</f>
        <v>291.707.668-27</v>
      </c>
      <c r="K193" s="5" t="str">
        <f>Transferencia!M193</f>
        <v/>
      </c>
      <c r="L193" s="5" t="s">
        <v>172</v>
      </c>
    </row>
    <row r="194" spans="1:12" ht="15.75" customHeight="1">
      <c r="A194" s="5" t="str">
        <f>Transferencia!A194</f>
        <v>23067941</v>
      </c>
      <c r="B194" s="5" t="str">
        <f>Transferencia!B194</f>
        <v>14/02/2025</v>
      </c>
      <c r="C194" s="5" t="str">
        <f>Transferencia!C194</f>
        <v>CAMILA FELIX DE CARVALHO</v>
      </c>
      <c r="D194" s="5" t="str">
        <f>Transferencia!D194</f>
        <v>camilafdecarvalho@outlook.com</v>
      </c>
      <c r="E194" s="5" t="str">
        <f>Transferencia!G194</f>
        <v>5512982864576</v>
      </c>
      <c r="F194" s="5" t="str">
        <f>Transferencia!H194</f>
        <v xml:space="preserve">e-CNPJ A1 - PME </v>
      </c>
      <c r="G194" s="6" t="str">
        <f>Transferencia!J194</f>
        <v>PONTO DE ATENDIMENTO AR CERTIFAST - ANDROMEDA/SP</v>
      </c>
      <c r="H194" s="4" t="str">
        <f>VLOOKUP(G194,Página1!G:L,6,0)</f>
        <v>Rogério</v>
      </c>
      <c r="I194" s="4" t="s">
        <v>16</v>
      </c>
      <c r="J194" s="5" t="str">
        <f>Transferencia!L194</f>
        <v>353.881.848-70</v>
      </c>
      <c r="K194" s="5" t="str">
        <f>Transferencia!M194</f>
        <v>47.444.136/0001-54</v>
      </c>
      <c r="L194" s="5"/>
    </row>
    <row r="195" spans="1:12" ht="15.75" customHeight="1">
      <c r="A195" s="5" t="str">
        <f>Transferencia!A195</f>
        <v>23068931</v>
      </c>
      <c r="B195" s="5" t="str">
        <f>Transferencia!B195</f>
        <v>14/02/2025</v>
      </c>
      <c r="C195" s="5" t="str">
        <f>Transferencia!C195</f>
        <v>ARNALDO TADEU LEONE JUNIOR</v>
      </c>
      <c r="D195" s="5" t="str">
        <f>Transferencia!D195</f>
        <v>arnaldo@aldox.com.br</v>
      </c>
      <c r="E195" s="5" t="str">
        <f>Transferencia!G195</f>
        <v>5511999998017</v>
      </c>
      <c r="F195" s="5" t="str">
        <f>Transferencia!H195</f>
        <v xml:space="preserve">e-CNPJ A1 - PME </v>
      </c>
      <c r="G195" s="6" t="str">
        <f>Transferencia!J195</f>
        <v>AR Certifast</v>
      </c>
      <c r="H195" s="4" t="str">
        <f>VLOOKUP(G195,Página1!G:L,6,0)</f>
        <v>Alexandre</v>
      </c>
      <c r="I195" s="4" t="s">
        <v>16</v>
      </c>
      <c r="J195" s="5" t="str">
        <f>Transferencia!L195</f>
        <v>271.646.808-76</v>
      </c>
      <c r="K195" s="5" t="str">
        <f>Transferencia!M195</f>
        <v>23.343.997/0001-88</v>
      </c>
      <c r="L195" s="5" t="s">
        <v>173</v>
      </c>
    </row>
    <row r="196" spans="1:12" ht="15.75" customHeight="1">
      <c r="A196" s="5" t="str">
        <f>Transferencia!A196</f>
        <v>23070057</v>
      </c>
      <c r="B196" s="5" t="str">
        <f>Transferencia!B196</f>
        <v>14/02/2025</v>
      </c>
      <c r="C196" s="5" t="str">
        <f>Transferencia!C196</f>
        <v>CLEONICE BATISTA MORAES DA SILVA</v>
      </c>
      <c r="D196" s="5" t="str">
        <f>Transferencia!D196</f>
        <v>solucoessetorjuridico@gmail.com</v>
      </c>
      <c r="E196" s="5" t="str">
        <f>Transferencia!G196</f>
        <v>5512991567739</v>
      </c>
      <c r="F196" s="5" t="str">
        <f>Transferencia!H196</f>
        <v xml:space="preserve">e-CNPJ A1 - 1 ano </v>
      </c>
      <c r="G196" s="6" t="str">
        <f>Transferencia!J196</f>
        <v>PONTO DE ATENDIMENTO AR CERTIFAST - ANDROMEDA/SP</v>
      </c>
      <c r="H196" s="4" t="str">
        <f>VLOOKUP(G196,Página1!G:L,6,0)</f>
        <v>Rogério</v>
      </c>
      <c r="I196" s="4" t="s">
        <v>16</v>
      </c>
      <c r="J196" s="5" t="str">
        <f>Transferencia!L196</f>
        <v>258.405.278-40</v>
      </c>
      <c r="K196" s="5" t="str">
        <f>Transferencia!M196</f>
        <v>13.683.893/0001-69</v>
      </c>
      <c r="L196" s="5" t="s">
        <v>174</v>
      </c>
    </row>
    <row r="197" spans="1:12" ht="15.75" customHeight="1">
      <c r="A197" s="5" t="str">
        <f>Transferencia!A197</f>
        <v>23070851</v>
      </c>
      <c r="B197" s="5" t="str">
        <f>Transferencia!B197</f>
        <v>14/02/2025</v>
      </c>
      <c r="C197" s="5" t="str">
        <f>Transferencia!C197</f>
        <v>ROBERTO CARRANZA DE CARVALHO BRAGA</v>
      </c>
      <c r="D197" s="5" t="str">
        <f>Transferencia!D197</f>
        <v>rubbermaiden@gmail.com</v>
      </c>
      <c r="E197" s="5" t="str">
        <f>Transferencia!G197</f>
        <v>55</v>
      </c>
      <c r="F197" s="5" t="str">
        <f>Transferencia!H197</f>
        <v xml:space="preserve">e-CPF A1 - Mobile </v>
      </c>
      <c r="G197" s="6" t="str">
        <f>Transferencia!J197</f>
        <v>Ponto de Atendimento AR Certifast - Maua Centro/SP</v>
      </c>
      <c r="H197" s="4" t="str">
        <f>VLOOKUP(G197,Página1!G:L,6,0)</f>
        <v>Ingrid</v>
      </c>
      <c r="I197" s="4" t="s">
        <v>16</v>
      </c>
      <c r="J197" s="5" t="str">
        <f>Transferencia!L197</f>
        <v>132.564.148-00</v>
      </c>
      <c r="K197" s="5" t="str">
        <f>Transferencia!M197</f>
        <v/>
      </c>
      <c r="L197" s="5" t="s">
        <v>175</v>
      </c>
    </row>
    <row r="198" spans="1:12" ht="15.75" customHeight="1">
      <c r="A198" s="5" t="str">
        <f>Transferencia!A198</f>
        <v>23071026</v>
      </c>
      <c r="B198" s="5" t="str">
        <f>Transferencia!B198</f>
        <v>14/02/2025</v>
      </c>
      <c r="C198" s="5" t="str">
        <f>Transferencia!C198</f>
        <v>LAURIANO TEIXEIRA DOS SANTOS</v>
      </c>
      <c r="D198" s="5" t="str">
        <f>Transferencia!D198</f>
        <v>laurianotx@gmail.com</v>
      </c>
      <c r="E198" s="5" t="str">
        <f>Transferencia!G198</f>
        <v>5512997981164</v>
      </c>
      <c r="F198" s="5" t="str">
        <f>Transferencia!H198</f>
        <v xml:space="preserve">e-CNPJ A1 - PME </v>
      </c>
      <c r="G198" s="6" t="str">
        <f>Transferencia!J198</f>
        <v>PONTO DE ATENDIMENTO AR CERTIFAST - ANDROMEDA/SP</v>
      </c>
      <c r="H198" s="4" t="str">
        <f>VLOOKUP(G198,Página1!G:L,6,0)</f>
        <v>Rogério</v>
      </c>
      <c r="I198" s="4" t="s">
        <v>16</v>
      </c>
      <c r="J198" s="5" t="str">
        <f>Transferencia!L198</f>
        <v>455.592.698-67</v>
      </c>
      <c r="K198" s="5" t="str">
        <f>Transferencia!M198</f>
        <v>28.855.345/0001-46</v>
      </c>
      <c r="L198" s="5" t="s">
        <v>176</v>
      </c>
    </row>
    <row r="199" spans="1:12" ht="15.75" customHeight="1">
      <c r="A199" s="5" t="str">
        <f>Transferencia!A199</f>
        <v>23071455</v>
      </c>
      <c r="B199" s="5" t="str">
        <f>Transferencia!B199</f>
        <v>14/02/2025</v>
      </c>
      <c r="C199" s="5" t="str">
        <f>Transferencia!C199</f>
        <v>PAULO SERGIO DE SIQUEIRA</v>
      </c>
      <c r="D199" s="5" t="str">
        <f>Transferencia!D199</f>
        <v>provalequimica@gmail.com</v>
      </c>
      <c r="E199" s="5" t="str">
        <f>Transferencia!G199</f>
        <v>5512981041200</v>
      </c>
      <c r="F199" s="5" t="str">
        <f>Transferencia!H199</f>
        <v xml:space="preserve">e-CNPJ A1 - 1 ano </v>
      </c>
      <c r="G199" s="6" t="str">
        <f>Transferencia!J199</f>
        <v>PONTO DE ATENDIMENTO AR CERTIFAST - ANDROMEDA/SP</v>
      </c>
      <c r="H199" s="4" t="str">
        <f>VLOOKUP(G199,Página1!G:L,6,0)</f>
        <v>Rogério</v>
      </c>
      <c r="I199" s="4" t="s">
        <v>16</v>
      </c>
      <c r="J199" s="5" t="str">
        <f>Transferencia!L199</f>
        <v>081.289.208-98</v>
      </c>
      <c r="K199" s="5" t="str">
        <f>Transferencia!M199</f>
        <v>15.783.935/0001-69</v>
      </c>
      <c r="L199" s="5" t="s">
        <v>177</v>
      </c>
    </row>
    <row r="200" spans="1:12" ht="15.75" customHeight="1">
      <c r="A200" s="5" t="str">
        <f>Transferencia!A200</f>
        <v>23072803</v>
      </c>
      <c r="B200" s="5" t="str">
        <f>Transferencia!B200</f>
        <v>14/02/2025</v>
      </c>
      <c r="C200" s="5" t="str">
        <f>Transferencia!C200</f>
        <v>MAVILIN BORGES DA SILVA CRISTOFALO</v>
      </c>
      <c r="D200" s="5" t="str">
        <f>Transferencia!D200</f>
        <v>mavilinborges@gmail.com</v>
      </c>
      <c r="E200" s="5" t="str">
        <f>Transferencia!G200</f>
        <v>5512983032611</v>
      </c>
      <c r="F200" s="5" t="str">
        <f>Transferencia!H200</f>
        <v xml:space="preserve">e-CNPJ A1 - PME </v>
      </c>
      <c r="G200" s="6" t="str">
        <f>Transferencia!J200</f>
        <v>PONTO DE ATENDIMENTO AR CERTIFAST - ANDROMEDA/SP</v>
      </c>
      <c r="H200" s="4" t="str">
        <f>VLOOKUP(G200,Página1!G:L,6,0)</f>
        <v>Rogério</v>
      </c>
      <c r="I200" s="4" t="s">
        <v>16</v>
      </c>
      <c r="J200" s="5" t="str">
        <f>Transferencia!L200</f>
        <v>425.770.368-76</v>
      </c>
      <c r="K200" s="5" t="str">
        <f>Transferencia!M200</f>
        <v>53.557.199/0001-10</v>
      </c>
      <c r="L200" s="5" t="s">
        <v>178</v>
      </c>
    </row>
    <row r="201" spans="1:12" ht="15.75" customHeight="1">
      <c r="A201" s="5" t="str">
        <f>Transferencia!A201</f>
        <v>23075671</v>
      </c>
      <c r="B201" s="5" t="str">
        <f>Transferencia!B201</f>
        <v>14/02/2025</v>
      </c>
      <c r="C201" s="5" t="str">
        <f>Transferencia!C201</f>
        <v>YURI MARQUES</v>
      </c>
      <c r="D201" s="5" t="str">
        <f>Transferencia!D201</f>
        <v>marquesyuri@gmail.com</v>
      </c>
      <c r="E201" s="5" t="str">
        <f>Transferencia!G201</f>
        <v>55</v>
      </c>
      <c r="F201" s="5" t="str">
        <f>Transferencia!H201</f>
        <v xml:space="preserve">e-CPF A1 - 1 ano </v>
      </c>
      <c r="G201" s="6" t="str">
        <f>Transferencia!J201</f>
        <v>Ponto de Atendimento AR Certifast - Maua Centro/SP</v>
      </c>
      <c r="H201" s="4" t="str">
        <f>VLOOKUP(G201,Página1!G:L,6,0)</f>
        <v>Ingrid</v>
      </c>
      <c r="I201" s="4" t="s">
        <v>16</v>
      </c>
      <c r="J201" s="5" t="str">
        <f>Transferencia!L201</f>
        <v>080.448.067-25</v>
      </c>
      <c r="K201" s="5" t="str">
        <f>Transferencia!M201</f>
        <v/>
      </c>
      <c r="L201" s="5" t="s">
        <v>178</v>
      </c>
    </row>
    <row r="202" spans="1:12" ht="15.75" customHeight="1">
      <c r="A202" s="5" t="str">
        <f>Transferencia!A202</f>
        <v>20095655</v>
      </c>
      <c r="B202" s="5" t="str">
        <f>Transferencia!B202</f>
        <v>15/02/2025</v>
      </c>
      <c r="C202" s="5" t="str">
        <f>Transferencia!C202</f>
        <v>JOELANE MIRELE SILVA DOS SANTOS</v>
      </c>
      <c r="D202" s="5" t="str">
        <f>Transferencia!D202</f>
        <v>joelanemireli@hotmail.com</v>
      </c>
      <c r="E202" s="5" t="str">
        <f>Transferencia!G202</f>
        <v>5574999635681</v>
      </c>
      <c r="F202" s="5" t="str">
        <f>Transferencia!H202</f>
        <v xml:space="preserve">e-CPF A3 - 3 anos </v>
      </c>
      <c r="G202" s="6" t="str">
        <f>Transferencia!J202</f>
        <v>Ponto de Atendimento AR Certifast - Pauliceia/SP</v>
      </c>
      <c r="H202" s="4" t="str">
        <f>VLOOKUP(G202,Página1!G:L,6,0)</f>
        <v>Alexandre</v>
      </c>
      <c r="I202" s="4" t="s">
        <v>16</v>
      </c>
      <c r="J202" s="5" t="str">
        <f>Transferencia!L202</f>
        <v>033.456.735-17</v>
      </c>
      <c r="K202" s="5" t="str">
        <f>Transferencia!M202</f>
        <v/>
      </c>
      <c r="L202" s="5" t="s">
        <v>179</v>
      </c>
    </row>
    <row r="203" spans="1:12" ht="15.75" customHeight="1">
      <c r="A203" s="5" t="str">
        <f>Transferencia!A203</f>
        <v>20096841</v>
      </c>
      <c r="B203" s="5" t="str">
        <f>Transferencia!B203</f>
        <v>15/02/2025</v>
      </c>
      <c r="C203" s="5" t="str">
        <f>Transferencia!C203</f>
        <v>Ana Paula Pires de Almeida</v>
      </c>
      <c r="D203" s="5" t="str">
        <f>Transferencia!D203</f>
        <v>apalmeid@trf3.jus.br</v>
      </c>
      <c r="E203" s="5" t="str">
        <f>Transferencia!G203</f>
        <v>5511981397785</v>
      </c>
      <c r="F203" s="5" t="str">
        <f>Transferencia!H203</f>
        <v>A3 PF - 3 anos - AC Certisign JUS</v>
      </c>
      <c r="G203" s="6" t="str">
        <f>Transferencia!J203</f>
        <v>Ponto de Atendimento AR Certifast - Maua Centro/SP - Jus</v>
      </c>
      <c r="H203" s="4" t="str">
        <f>VLOOKUP(G203,Página1!G:L,6,0)</f>
        <v>Ingrid</v>
      </c>
      <c r="I203" s="4" t="s">
        <v>16</v>
      </c>
      <c r="J203" s="5" t="str">
        <f>Transferencia!L203</f>
        <v>220.755.918-14</v>
      </c>
      <c r="K203" s="5" t="str">
        <f>Transferencia!M203</f>
        <v/>
      </c>
      <c r="L203" s="5" t="s">
        <v>180</v>
      </c>
    </row>
    <row r="204" spans="1:12" ht="15.75" customHeight="1">
      <c r="A204" s="5" t="str">
        <f>Transferencia!A204</f>
        <v>20099123</v>
      </c>
      <c r="B204" s="5" t="str">
        <f>Transferencia!B204</f>
        <v>15/02/2025</v>
      </c>
      <c r="C204" s="5" t="str">
        <f>Transferencia!C204</f>
        <v>FLAVIA MARIA SILVA DE CARVALHO SOUZA PAIVA</v>
      </c>
      <c r="D204" s="5" t="str">
        <f>Transferencia!D204</f>
        <v>iro1secretaria@tjmg.jus.br</v>
      </c>
      <c r="E204" s="5" t="str">
        <f>Transferencia!G204</f>
        <v>553135624600</v>
      </c>
      <c r="F204" s="5" t="str">
        <f>Transferencia!H204</f>
        <v xml:space="preserve">e-CPF A3 - 3 anos </v>
      </c>
      <c r="G204" s="6" t="str">
        <f>Transferencia!J204</f>
        <v>Ponto de Atendimento AR Certifast - Maua Centro/SP</v>
      </c>
      <c r="H204" s="4" t="str">
        <f>VLOOKUP(G204,Página1!G:L,6,0)</f>
        <v>Ingrid</v>
      </c>
      <c r="I204" s="4" t="s">
        <v>16</v>
      </c>
      <c r="J204" s="5" t="str">
        <f>Transferencia!L204</f>
        <v>044.862.516-44</v>
      </c>
      <c r="K204" s="5" t="str">
        <f>Transferencia!M204</f>
        <v/>
      </c>
      <c r="L204" s="5" t="s">
        <v>181</v>
      </c>
    </row>
    <row r="205" spans="1:12" ht="15.75" customHeight="1">
      <c r="A205" s="5" t="str">
        <f>Transferencia!A205</f>
        <v>22981524</v>
      </c>
      <c r="B205" s="5" t="str">
        <f>Transferencia!B205</f>
        <v>15/02/2025</v>
      </c>
      <c r="C205" s="5" t="str">
        <f>Transferencia!C205</f>
        <v>CAIO DA FONSECA LAMPOGLIA</v>
      </c>
      <c r="D205" s="5" t="str">
        <f>Transferencia!D205</f>
        <v>caio.lampoglia@giolaser.com.br</v>
      </c>
      <c r="E205" s="5" t="str">
        <f>Transferencia!G205</f>
        <v>5531971975060</v>
      </c>
      <c r="F205" s="5" t="str">
        <f>Transferencia!H205</f>
        <v xml:space="preserve">e-CNPJ A1 - PME </v>
      </c>
      <c r="G205" s="6" t="str">
        <f>Transferencia!J205</f>
        <v>Ponto de Atendimento AR Certifast - Prado BH/MG</v>
      </c>
      <c r="H205" s="4" t="str">
        <f>VLOOKUP(G205,Página1!G:L,6,0)</f>
        <v>Isabella</v>
      </c>
      <c r="I205" s="4" t="s">
        <v>16</v>
      </c>
      <c r="J205" s="5" t="str">
        <f>Transferencia!L205</f>
        <v>392.874.318-09</v>
      </c>
      <c r="K205" s="5" t="str">
        <f>Transferencia!M205</f>
        <v>44.753.741/0001-19</v>
      </c>
      <c r="L205" s="5" t="s">
        <v>182</v>
      </c>
    </row>
    <row r="206" spans="1:12" ht="15.75" customHeight="1">
      <c r="A206" s="5" t="str">
        <f>Transferencia!A206</f>
        <v>23014757</v>
      </c>
      <c r="B206" s="5" t="str">
        <f>Transferencia!B206</f>
        <v>15/02/2025</v>
      </c>
      <c r="C206" s="5" t="str">
        <f>Transferencia!C206</f>
        <v>LORENA FRANCA CALDEIRA SALES CORREA</v>
      </c>
      <c r="D206" s="5" t="str">
        <f>Transferencia!D206</f>
        <v>bernardoc@lfipropaganda.com.br</v>
      </c>
      <c r="E206" s="5" t="str">
        <f>Transferencia!G206</f>
        <v>5531992540022</v>
      </c>
      <c r="F206" s="5" t="str">
        <f>Transferencia!H206</f>
        <v xml:space="preserve">e-CPF A1 - 1 ano </v>
      </c>
      <c r="G206" s="6" t="str">
        <f>Transferencia!J206</f>
        <v>Ponto de Atendimento AR Certifast - Prado BH/MG</v>
      </c>
      <c r="H206" s="4" t="str">
        <f>VLOOKUP(G206,Página1!G:L,6,0)</f>
        <v>Isabella</v>
      </c>
      <c r="I206" s="4" t="s">
        <v>16</v>
      </c>
      <c r="J206" s="5" t="str">
        <f>Transferencia!L206</f>
        <v>052.497.214-19</v>
      </c>
      <c r="K206" s="5" t="str">
        <f>Transferencia!M206</f>
        <v/>
      </c>
      <c r="L206" s="5" t="s">
        <v>183</v>
      </c>
    </row>
    <row r="207" spans="1:12" ht="15.75" customHeight="1">
      <c r="A207" s="5" t="str">
        <f>Transferencia!A207</f>
        <v>23037227</v>
      </c>
      <c r="B207" s="5" t="str">
        <f>Transferencia!B207</f>
        <v>15/02/2025</v>
      </c>
      <c r="C207" s="5" t="str">
        <f>Transferencia!C207</f>
        <v>ANA CAROLINA BRITO DE OLIVEIRA</v>
      </c>
      <c r="D207" s="5" t="str">
        <f>Transferencia!D207</f>
        <v>jh.contabilidade@hotmail.com</v>
      </c>
      <c r="E207" s="5" t="str">
        <f>Transferencia!G207</f>
        <v>5511984417247</v>
      </c>
      <c r="F207" s="5" t="str">
        <f>Transferencia!H207</f>
        <v xml:space="preserve">e-CNPJ A1 - PME </v>
      </c>
      <c r="G207" s="6" t="str">
        <f>Transferencia!J207</f>
        <v>PONTO DE ATENDIMENTO AR CERTIFAST - ANDROMEDA/SP</v>
      </c>
      <c r="H207" s="4" t="str">
        <f>VLOOKUP(G207,Página1!G:L,6,0)</f>
        <v>Rogério</v>
      </c>
      <c r="I207" s="4" t="s">
        <v>16</v>
      </c>
      <c r="J207" s="5" t="str">
        <f>Transferencia!L207</f>
        <v>289.514.718-37</v>
      </c>
      <c r="K207" s="5" t="str">
        <f>Transferencia!M207</f>
        <v>35.913.179/0001-52</v>
      </c>
      <c r="L207" s="5" t="s">
        <v>184</v>
      </c>
    </row>
    <row r="208" spans="1:12" ht="15.75" customHeight="1">
      <c r="A208" s="5" t="str">
        <f>Transferencia!A208</f>
        <v>23060009</v>
      </c>
      <c r="B208" s="5" t="str">
        <f>Transferencia!B208</f>
        <v>15/02/2025</v>
      </c>
      <c r="C208" s="5" t="str">
        <f>Transferencia!C208</f>
        <v>KEILA MALVEZZI DA SILVA</v>
      </c>
      <c r="D208" s="5" t="str">
        <f>Transferencia!D208</f>
        <v>montanini@montanini.com.br</v>
      </c>
      <c r="E208" s="5" t="str">
        <f>Transferencia!G208</f>
        <v>5511991964817</v>
      </c>
      <c r="F208" s="5" t="str">
        <f>Transferencia!H208</f>
        <v xml:space="preserve">e-CNPJ A1 - 1 ano </v>
      </c>
      <c r="G208" s="6" t="str">
        <f>Transferencia!J208</f>
        <v>AR Certifast</v>
      </c>
      <c r="H208" s="4" t="str">
        <f>VLOOKUP(G208,Página1!G:L,6,0)</f>
        <v>Alexandre</v>
      </c>
      <c r="I208" s="4" t="s">
        <v>16</v>
      </c>
      <c r="J208" s="5" t="str">
        <f>Transferencia!L208</f>
        <v>320.559.168-23</v>
      </c>
      <c r="K208" s="5" t="str">
        <f>Transferencia!M208</f>
        <v>17.974.974/0001-79</v>
      </c>
      <c r="L208" s="5" t="s">
        <v>185</v>
      </c>
    </row>
    <row r="209" spans="1:12" ht="15.75" customHeight="1">
      <c r="A209" s="5" t="str">
        <f>Transferencia!A209</f>
        <v>23060010</v>
      </c>
      <c r="B209" s="5" t="str">
        <f>Transferencia!B209</f>
        <v>15/02/2025</v>
      </c>
      <c r="C209" s="5" t="str">
        <f>Transferencia!C209</f>
        <v>KAROL MALVEZZI DA SILVA</v>
      </c>
      <c r="D209" s="5" t="str">
        <f>Transferencia!D209</f>
        <v>montanini@montanini.com.br</v>
      </c>
      <c r="E209" s="5" t="str">
        <f>Transferencia!G209</f>
        <v>5511992481022</v>
      </c>
      <c r="F209" s="5" t="str">
        <f>Transferencia!H209</f>
        <v xml:space="preserve">e-CNPJ A1 - 1 ano </v>
      </c>
      <c r="G209" s="6" t="str">
        <f>Transferencia!J209</f>
        <v>AR Certifast</v>
      </c>
      <c r="H209" s="4" t="str">
        <f>VLOOKUP(G209,Página1!G:L,6,0)</f>
        <v>Alexandre</v>
      </c>
      <c r="I209" s="4" t="s">
        <v>16</v>
      </c>
      <c r="J209" s="5" t="str">
        <f>Transferencia!L209</f>
        <v>220.050.178-17</v>
      </c>
      <c r="K209" s="5" t="str">
        <f>Transferencia!M209</f>
        <v>17.694.292/0001-02</v>
      </c>
      <c r="L209" s="5" t="s">
        <v>186</v>
      </c>
    </row>
    <row r="210" spans="1:12" ht="15.75" customHeight="1">
      <c r="A210" s="5" t="str">
        <f>Transferencia!A210</f>
        <v>23060044</v>
      </c>
      <c r="B210" s="5" t="str">
        <f>Transferencia!B210</f>
        <v>15/02/2025</v>
      </c>
      <c r="C210" s="5" t="str">
        <f>Transferencia!C210</f>
        <v>LUCIENE FERNANDES DA SILVA</v>
      </c>
      <c r="D210" s="5" t="str">
        <f>Transferencia!D210</f>
        <v>montanini@montanini.com.br</v>
      </c>
      <c r="E210" s="5" t="str">
        <f>Transferencia!G210</f>
        <v>5511972652175</v>
      </c>
      <c r="F210" s="5" t="str">
        <f>Transferencia!H210</f>
        <v xml:space="preserve">e-CNPJ A1 - 1 ano </v>
      </c>
      <c r="G210" s="6" t="str">
        <f>Transferencia!J210</f>
        <v>AR Certifast</v>
      </c>
      <c r="H210" s="4" t="str">
        <f>VLOOKUP(G210,Página1!G:L,6,0)</f>
        <v>Alexandre</v>
      </c>
      <c r="I210" s="4" t="s">
        <v>16</v>
      </c>
      <c r="J210" s="5" t="str">
        <f>Transferencia!L210</f>
        <v>278.046.638-38</v>
      </c>
      <c r="K210" s="5" t="str">
        <f>Transferencia!M210</f>
        <v>17.716.831/0001-67</v>
      </c>
      <c r="L210" s="5" t="s">
        <v>187</v>
      </c>
    </row>
    <row r="211" spans="1:12" ht="15.75" customHeight="1">
      <c r="A211" s="5" t="str">
        <f>Transferencia!A211</f>
        <v>23062452</v>
      </c>
      <c r="B211" s="5" t="str">
        <f>Transferencia!B211</f>
        <v>15/02/2025</v>
      </c>
      <c r="C211" s="5" t="str">
        <f>Transferencia!C211</f>
        <v>ELDA MALVEZZI DA SILVA</v>
      </c>
      <c r="D211" s="5" t="str">
        <f>Transferencia!D211</f>
        <v>montanini@montanini.com.br</v>
      </c>
      <c r="E211" s="5" t="str">
        <f>Transferencia!G211</f>
        <v>5511999449333</v>
      </c>
      <c r="F211" s="5" t="str">
        <f>Transferencia!H211</f>
        <v xml:space="preserve">e-CNPJ A1 - 1 ano </v>
      </c>
      <c r="G211" s="6" t="str">
        <f>Transferencia!J211</f>
        <v>AR Certifast</v>
      </c>
      <c r="H211" s="4" t="str">
        <f>VLOOKUP(G211,Página1!G:L,6,0)</f>
        <v>Alexandre</v>
      </c>
      <c r="I211" s="4" t="s">
        <v>16</v>
      </c>
      <c r="J211" s="5" t="str">
        <f>Transferencia!L211</f>
        <v>032.956.528-13</v>
      </c>
      <c r="K211" s="5" t="str">
        <f>Transferencia!M211</f>
        <v>17.886.051/0001-65</v>
      </c>
      <c r="L211" s="5" t="s">
        <v>188</v>
      </c>
    </row>
    <row r="212" spans="1:12" ht="15.75" customHeight="1">
      <c r="A212" s="5" t="str">
        <f>Transferencia!A212</f>
        <v>23062909</v>
      </c>
      <c r="B212" s="5" t="str">
        <f>Transferencia!B212</f>
        <v>15/02/2025</v>
      </c>
      <c r="C212" s="5" t="str">
        <f>Transferencia!C212</f>
        <v>LUCIENE FERNANDES DA SILVA</v>
      </c>
      <c r="D212" s="5" t="str">
        <f>Transferencia!D212</f>
        <v>montanini@montanini.com.br</v>
      </c>
      <c r="E212" s="5" t="str">
        <f>Transferencia!G212</f>
        <v>5511972652175</v>
      </c>
      <c r="F212" s="5" t="str">
        <f>Transferencia!H212</f>
        <v xml:space="preserve">e-CNPJ A1 - 1 ano </v>
      </c>
      <c r="G212" s="6" t="str">
        <f>Transferencia!J212</f>
        <v>AR Certifast</v>
      </c>
      <c r="H212" s="4" t="str">
        <f>VLOOKUP(G212,Página1!G:L,6,0)</f>
        <v>Alexandre</v>
      </c>
      <c r="I212" s="4" t="s">
        <v>16</v>
      </c>
      <c r="J212" s="5" t="str">
        <f>Transferencia!L212</f>
        <v>278.046.638-38</v>
      </c>
      <c r="K212" s="5" t="str">
        <f>Transferencia!M212</f>
        <v>17.750.011/0001-91</v>
      </c>
      <c r="L212" s="5" t="s">
        <v>189</v>
      </c>
    </row>
    <row r="213" spans="1:12" ht="15.75" customHeight="1">
      <c r="A213" s="5" t="str">
        <f>Transferencia!A213</f>
        <v>23063615</v>
      </c>
      <c r="B213" s="5" t="str">
        <f>Transferencia!B213</f>
        <v>15/02/2025</v>
      </c>
      <c r="C213" s="5" t="str">
        <f>Transferencia!C213</f>
        <v>MARCOS APARECIDO GONCALVES DE ALMEIDA</v>
      </c>
      <c r="D213" s="5" t="str">
        <f>Transferencia!D213</f>
        <v>jh.contabilidade@hotmail.com</v>
      </c>
      <c r="E213" s="5" t="str">
        <f>Transferencia!G213</f>
        <v>5519981713097</v>
      </c>
      <c r="F213" s="5" t="str">
        <f>Transferencia!H213</f>
        <v xml:space="preserve">e-CNPJ A1 - PME </v>
      </c>
      <c r="G213" s="6" t="str">
        <f>Transferencia!J213</f>
        <v>PONTO DE ATENDIMENTO AR CERTIFAST - ANDROMEDA/SP</v>
      </c>
      <c r="H213" s="4" t="str">
        <f>VLOOKUP(G213,Página1!G:L,6,0)</f>
        <v>Rogério</v>
      </c>
      <c r="I213" s="4" t="s">
        <v>16</v>
      </c>
      <c r="J213" s="5" t="str">
        <f>Transferencia!L213</f>
        <v>248.814.418-50</v>
      </c>
      <c r="K213" s="5" t="str">
        <f>Transferencia!M213</f>
        <v>53.815.574/0001-84</v>
      </c>
      <c r="L213" s="5" t="s">
        <v>190</v>
      </c>
    </row>
    <row r="214" spans="1:12" ht="15.75" customHeight="1">
      <c r="A214" s="5" t="str">
        <f>Transferencia!A214</f>
        <v>23064787</v>
      </c>
      <c r="B214" s="5" t="str">
        <f>Transferencia!B214</f>
        <v>15/02/2025</v>
      </c>
      <c r="C214" s="5" t="str">
        <f>Transferencia!C214</f>
        <v>LUCAS VAZ FERREIRA PINTO</v>
      </c>
      <c r="D214" s="5" t="str">
        <f>Transferencia!D214</f>
        <v>lucasvazferreirapinto@gmail.com</v>
      </c>
      <c r="E214" s="5" t="str">
        <f>Transferencia!G214</f>
        <v>5511992599314</v>
      </c>
      <c r="F214" s="5" t="str">
        <f>Transferencia!H214</f>
        <v xml:space="preserve">e-CPF A1 - 1 ano </v>
      </c>
      <c r="G214" s="6" t="str">
        <f>Transferencia!J214</f>
        <v>Ponto de Atendimento AR Certifast - Prado BH/MG</v>
      </c>
      <c r="H214" s="4" t="str">
        <f>VLOOKUP(G214,Página1!G:L,6,0)</f>
        <v>Isabella</v>
      </c>
      <c r="I214" s="4" t="s">
        <v>16</v>
      </c>
      <c r="J214" s="5" t="str">
        <f>Transferencia!L214</f>
        <v>016.345.456-64</v>
      </c>
      <c r="K214" s="5" t="str">
        <f>Transferencia!M214</f>
        <v/>
      </c>
      <c r="L214" s="5" t="s">
        <v>191</v>
      </c>
    </row>
    <row r="215" spans="1:12" ht="15.75" customHeight="1">
      <c r="A215" s="5" t="str">
        <f>Transferencia!A215</f>
        <v>23064789</v>
      </c>
      <c r="B215" s="5" t="str">
        <f>Transferencia!B215</f>
        <v>15/02/2025</v>
      </c>
      <c r="C215" s="5" t="str">
        <f>Transferencia!C215</f>
        <v>LUCAS VAZ FERREIRA PINTO</v>
      </c>
      <c r="D215" s="5" t="str">
        <f>Transferencia!D215</f>
        <v>lucasvazferreirapinto@gmail.com</v>
      </c>
      <c r="E215" s="5" t="str">
        <f>Transferencia!G215</f>
        <v>5511992595314</v>
      </c>
      <c r="F215" s="5" t="str">
        <f>Transferencia!H215</f>
        <v>NF-e A1 PJ - 1 ano - AC BR RFB</v>
      </c>
      <c r="G215" s="6" t="str">
        <f>Transferencia!J215</f>
        <v>Ponto de Atendimento AR Certifast - Prado BH/MG</v>
      </c>
      <c r="H215" s="4" t="str">
        <f>VLOOKUP(G215,Página1!G:L,6,0)</f>
        <v>Isabella</v>
      </c>
      <c r="I215" s="4" t="s">
        <v>16</v>
      </c>
      <c r="J215" s="5" t="str">
        <f>Transferencia!L215</f>
        <v>016.345.456-64</v>
      </c>
      <c r="K215" s="5" t="str">
        <f>Transferencia!M215</f>
        <v>45.326.321/0001-19</v>
      </c>
      <c r="L215" s="5" t="s">
        <v>192</v>
      </c>
    </row>
    <row r="216" spans="1:12" ht="15.75" customHeight="1">
      <c r="A216" s="5" t="str">
        <f>Transferencia!A216</f>
        <v>23069103</v>
      </c>
      <c r="B216" s="5" t="str">
        <f>Transferencia!B216</f>
        <v>15/02/2025</v>
      </c>
      <c r="C216" s="5" t="str">
        <f>Transferencia!C216</f>
        <v>EMILY CARANO DA SILVA LEITE</v>
      </c>
      <c r="D216" s="5" t="str">
        <f>Transferencia!D216</f>
        <v>coord.societario@reluzcontabil.com.br</v>
      </c>
      <c r="E216" s="5" t="str">
        <f>Transferencia!G216</f>
        <v>5511963670837</v>
      </c>
      <c r="F216" s="5" t="str">
        <f>Transferencia!H216</f>
        <v xml:space="preserve">e-CNPJ A1 - PME </v>
      </c>
      <c r="G216" s="6" t="str">
        <f>Transferencia!J216</f>
        <v>Ponto de Atendimento AR Certifast - Maua Centro/SP</v>
      </c>
      <c r="H216" s="4" t="str">
        <f>VLOOKUP(G216,Página1!G:L,6,0)</f>
        <v>Ingrid</v>
      </c>
      <c r="I216" s="4" t="s">
        <v>16</v>
      </c>
      <c r="J216" s="5" t="str">
        <f>Transferencia!L216</f>
        <v>518.227.008-92</v>
      </c>
      <c r="K216" s="5" t="str">
        <f>Transferencia!M216</f>
        <v>19.557.879/0001-03</v>
      </c>
      <c r="L216" s="5" t="s">
        <v>193</v>
      </c>
    </row>
    <row r="217" spans="1:12" ht="15.75" customHeight="1">
      <c r="A217" s="5" t="str">
        <f>Transferencia!A217</f>
        <v>23072536</v>
      </c>
      <c r="B217" s="5" t="str">
        <f>Transferencia!B217</f>
        <v>15/02/2025</v>
      </c>
      <c r="C217" s="5" t="str">
        <f>Transferencia!C217</f>
        <v>ROBERTO MELLAO</v>
      </c>
      <c r="D217" s="5" t="str">
        <f>Transferencia!D217</f>
        <v>melrob@live.com</v>
      </c>
      <c r="E217" s="5" t="str">
        <f>Transferencia!G217</f>
        <v>5512988550367</v>
      </c>
      <c r="F217" s="5" t="str">
        <f>Transferencia!H217</f>
        <v xml:space="preserve">e-CPF A1 - 1 ano </v>
      </c>
      <c r="G217" s="6" t="str">
        <f>Transferencia!J217</f>
        <v>PONTO DE ATENDIMENTO AR CERTIFAST - ANDROMEDA/SP</v>
      </c>
      <c r="H217" s="4" t="str">
        <f>VLOOKUP(G217,Página1!G:L,6,0)</f>
        <v>Rogério</v>
      </c>
      <c r="I217" s="4" t="s">
        <v>16</v>
      </c>
      <c r="J217" s="5" t="str">
        <f>Transferencia!L217</f>
        <v>004.296.538-16</v>
      </c>
      <c r="K217" s="5" t="str">
        <f>Transferencia!M217</f>
        <v/>
      </c>
      <c r="L217" s="5" t="s">
        <v>194</v>
      </c>
    </row>
    <row r="218" spans="1:12" ht="15.75" customHeight="1">
      <c r="A218" s="5" t="str">
        <f>Transferencia!A218</f>
        <v>23076073</v>
      </c>
      <c r="B218" s="5" t="str">
        <f>Transferencia!B218</f>
        <v>15/02/2025</v>
      </c>
      <c r="C218" s="5" t="str">
        <f>Transferencia!C218</f>
        <v>LUCAS VAZ FERREIRA PINTO</v>
      </c>
      <c r="D218" s="5" t="str">
        <f>Transferencia!D218</f>
        <v>lucasvazferreirapinto@gmail.com</v>
      </c>
      <c r="E218" s="5" t="str">
        <f>Transferencia!G218</f>
        <v>5511992595314</v>
      </c>
      <c r="F218" s="5" t="str">
        <f>Transferencia!H218</f>
        <v>NF-e A1 PJ - 1 ano - AC BR RFB</v>
      </c>
      <c r="G218" s="6" t="str">
        <f>Transferencia!J218</f>
        <v>Ponto de Atendimento AR Certifast - Prado BH/MG</v>
      </c>
      <c r="H218" s="4" t="str">
        <f>VLOOKUP(G218,Página1!G:L,6,0)</f>
        <v>Isabella</v>
      </c>
      <c r="I218" s="4" t="s">
        <v>16</v>
      </c>
      <c r="J218" s="5" t="str">
        <f>Transferencia!L218</f>
        <v>016.345.456-64</v>
      </c>
      <c r="K218" s="5" t="str">
        <f>Transferencia!M218</f>
        <v>53.107.768/0001-25</v>
      </c>
      <c r="L218" s="5" t="s">
        <v>195</v>
      </c>
    </row>
    <row r="219" spans="1:12" ht="15.75" customHeight="1">
      <c r="A219" s="5" t="str">
        <f>Transferencia!A219</f>
        <v>23076127</v>
      </c>
      <c r="B219" s="5" t="str">
        <f>Transferencia!B219</f>
        <v>15/02/2025</v>
      </c>
      <c r="C219" s="5" t="str">
        <f>Transferencia!C219</f>
        <v>CHRISTIANE ANDRADE UZEDA GOMES</v>
      </c>
      <c r="D219" s="5" t="str">
        <f>Transferencia!D219</f>
        <v>jh.contabilidade@hotmail.com</v>
      </c>
      <c r="E219" s="5" t="str">
        <f>Transferencia!G219</f>
        <v>5571999480068</v>
      </c>
      <c r="F219" s="5" t="str">
        <f>Transferencia!H219</f>
        <v xml:space="preserve">e-CNPJ A1 - PME </v>
      </c>
      <c r="G219" s="6" t="str">
        <f>Transferencia!J219</f>
        <v>PONTO DE ATENDIMENTO AR CERTIFAST - ANDROMEDA/SP</v>
      </c>
      <c r="H219" s="4" t="str">
        <f>VLOOKUP(G219,Página1!G:L,6,0)</f>
        <v>Rogério</v>
      </c>
      <c r="I219" s="4" t="s">
        <v>16</v>
      </c>
      <c r="J219" s="5" t="str">
        <f>Transferencia!L219</f>
        <v>000.553.655-31</v>
      </c>
      <c r="K219" s="5" t="str">
        <f>Transferencia!M219</f>
        <v>42.176.694/0001-62</v>
      </c>
      <c r="L219" s="5" t="s">
        <v>196</v>
      </c>
    </row>
    <row r="220" spans="1:12" ht="15.75" customHeight="1">
      <c r="A220" s="5" t="str">
        <f>Transferencia!A220</f>
        <v>23077215</v>
      </c>
      <c r="B220" s="5" t="str">
        <f>Transferencia!B220</f>
        <v>15/02/2025</v>
      </c>
      <c r="C220" s="5" t="str">
        <f>Transferencia!C220</f>
        <v>CRISTIANO CALDEIRA ARAUJO</v>
      </c>
      <c r="D220" s="5" t="str">
        <f>Transferencia!D220</f>
        <v>gerencia.hemotech@gmail.com</v>
      </c>
      <c r="E220" s="5" t="str">
        <f>Transferencia!G220</f>
        <v>5531986120113</v>
      </c>
      <c r="F220" s="5" t="str">
        <f>Transferencia!H220</f>
        <v xml:space="preserve">e-CNPJ A1 - PME </v>
      </c>
      <c r="G220" s="6" t="str">
        <f>Transferencia!J220</f>
        <v>Ponto de Atendimento AR Certifast - Prado BH/MG</v>
      </c>
      <c r="H220" s="4" t="str">
        <f>VLOOKUP(G220,Página1!G:L,6,0)</f>
        <v>Isabella</v>
      </c>
      <c r="I220" s="4" t="s">
        <v>16</v>
      </c>
      <c r="J220" s="5" t="str">
        <f>Transferencia!L220</f>
        <v>032.396.026-01</v>
      </c>
      <c r="K220" s="5" t="str">
        <f>Transferencia!M220</f>
        <v>07.253.855/0001-73</v>
      </c>
      <c r="L220" s="5" t="s">
        <v>197</v>
      </c>
    </row>
    <row r="221" spans="1:12" ht="15.75" customHeight="1">
      <c r="A221" s="5" t="str">
        <f>Transferencia!A221</f>
        <v>23078558</v>
      </c>
      <c r="B221" s="5" t="str">
        <f>Transferencia!B221</f>
        <v>15/02/2025</v>
      </c>
      <c r="C221" s="5" t="str">
        <f>Transferencia!C221</f>
        <v>ARIANE MIRELA DA SILVA DE SOUZA</v>
      </c>
      <c r="D221" s="5" t="str">
        <f>Transferencia!D221</f>
        <v>michael1ariane@gmail.com</v>
      </c>
      <c r="E221" s="5" t="str">
        <f>Transferencia!G221</f>
        <v>5512981185390</v>
      </c>
      <c r="F221" s="5" t="str">
        <f>Transferencia!H221</f>
        <v xml:space="preserve">e-CNPJ A1 - 1 ano </v>
      </c>
      <c r="G221" s="6" t="str">
        <f>Transferencia!J221</f>
        <v>PONTO DE ATENDIMENTO AR CERTIFAST - ANDROMEDA/SP</v>
      </c>
      <c r="H221" s="4" t="str">
        <f>VLOOKUP(G221,Página1!G:L,6,0)</f>
        <v>Rogério</v>
      </c>
      <c r="I221" s="4" t="s">
        <v>16</v>
      </c>
      <c r="J221" s="5" t="str">
        <f>Transferencia!L221</f>
        <v>344.511.348-38</v>
      </c>
      <c r="K221" s="5" t="str">
        <f>Transferencia!M221</f>
        <v>46.302.150/0001-50</v>
      </c>
      <c r="L221" s="5" t="s">
        <v>198</v>
      </c>
    </row>
    <row r="222" spans="1:12" ht="15.75" customHeight="1">
      <c r="A222" s="5" t="str">
        <f>Transferencia!A222</f>
        <v>23080708</v>
      </c>
      <c r="B222" s="5" t="str">
        <f>Transferencia!B222</f>
        <v>15/02/2025</v>
      </c>
      <c r="C222" s="5" t="str">
        <f>Transferencia!C222</f>
        <v>DANIEL FRANCISCO WALCKIERS CLEMENTINO</v>
      </c>
      <c r="D222" s="5" t="str">
        <f>Transferencia!D222</f>
        <v>contato@amigosuporte.com.br</v>
      </c>
      <c r="E222" s="5" t="str">
        <f>Transferencia!G222</f>
        <v>55</v>
      </c>
      <c r="F222" s="5" t="str">
        <f>Transferencia!H222</f>
        <v xml:space="preserve">e-CNPJ A1 - 1 ano </v>
      </c>
      <c r="G222" s="6" t="str">
        <f>Transferencia!J222</f>
        <v>Ponto de Atendimento AR Certifast - Maua Centro/SP</v>
      </c>
      <c r="H222" s="4" t="str">
        <f>VLOOKUP(G222,Página1!G:L,6,0)</f>
        <v>Ingrid</v>
      </c>
      <c r="I222" s="4" t="s">
        <v>16</v>
      </c>
      <c r="J222" s="5" t="str">
        <f>Transferencia!L222</f>
        <v>299.200.108-20</v>
      </c>
      <c r="K222" s="5" t="str">
        <f>Transferencia!M222</f>
        <v>44.804.023/0001-24</v>
      </c>
      <c r="L222" s="5"/>
    </row>
    <row r="223" spans="1:12" ht="15.75" customHeight="1">
      <c r="A223" s="5" t="str">
        <f>Transferencia!A223</f>
        <v>20060334</v>
      </c>
      <c r="B223" s="5" t="str">
        <f>Transferencia!B223</f>
        <v>16/02/2025</v>
      </c>
      <c r="C223" s="5" t="str">
        <f>Transferencia!C223</f>
        <v>MARCIO ESMERINO LEITE RIBEIRO</v>
      </c>
      <c r="D223" s="5" t="str">
        <f>Transferencia!D223</f>
        <v>sducarmo100@gmail.com</v>
      </c>
      <c r="E223" s="5" t="str">
        <f>Transferencia!G223</f>
        <v>5511996161307</v>
      </c>
      <c r="F223" s="5" t="str">
        <f>Transferencia!H223</f>
        <v xml:space="preserve">e-CNPJ A3 - 3 anos </v>
      </c>
      <c r="G223" s="6" t="str">
        <f>Transferencia!J223</f>
        <v>AR Certifast</v>
      </c>
      <c r="H223" s="4" t="str">
        <f>VLOOKUP(G223,Página1!G:L,6,0)</f>
        <v>Alexandre</v>
      </c>
      <c r="I223" s="4" t="s">
        <v>16</v>
      </c>
      <c r="J223" s="5" t="str">
        <f>Transferencia!L223</f>
        <v>005.922.698-68</v>
      </c>
      <c r="K223" s="5" t="str">
        <f>Transferencia!M223</f>
        <v>64.521.958/0001-00</v>
      </c>
      <c r="L223" s="5" t="s">
        <v>200</v>
      </c>
    </row>
    <row r="224" spans="1:12" ht="15.75" customHeight="1">
      <c r="A224" s="5" t="str">
        <f>Transferencia!A224</f>
        <v>20094966</v>
      </c>
      <c r="B224" s="5" t="str">
        <f>Transferencia!B224</f>
        <v>16/02/2025</v>
      </c>
      <c r="C224" s="5" t="str">
        <f>Transferencia!C224</f>
        <v>DANIELLE CAMPOS ARAUJO</v>
      </c>
      <c r="D224" s="5" t="str">
        <f>Transferencia!D224</f>
        <v>DANNI.CAMPOS@HOTMAIL.COM</v>
      </c>
      <c r="E224" s="5" t="str">
        <f>Transferencia!G224</f>
        <v>5531997482170</v>
      </c>
      <c r="F224" s="5" t="str">
        <f>Transferencia!H224</f>
        <v xml:space="preserve">e-CPF A3 - 3 anos </v>
      </c>
      <c r="G224" s="6" t="str">
        <f>Transferencia!J224</f>
        <v>Ponto de Atendimento AR Certifast - Prado BH/MG</v>
      </c>
      <c r="H224" s="4" t="str">
        <f>VLOOKUP(G224,Página1!G:L,6,0)</f>
        <v>Isabella</v>
      </c>
      <c r="I224" s="4" t="s">
        <v>16</v>
      </c>
      <c r="J224" s="5" t="str">
        <f>Transferencia!L224</f>
        <v>084.739.086-19</v>
      </c>
      <c r="K224" s="5" t="str">
        <f>Transferencia!M224</f>
        <v/>
      </c>
      <c r="L224" s="5" t="s">
        <v>201</v>
      </c>
    </row>
    <row r="225" spans="1:12" ht="15.75" customHeight="1">
      <c r="A225" s="5" t="str">
        <f>Transferencia!A225</f>
        <v>20099117</v>
      </c>
      <c r="B225" s="5" t="str">
        <f>Transferencia!B225</f>
        <v>16/02/2025</v>
      </c>
      <c r="C225" s="5" t="str">
        <f>Transferencia!C225</f>
        <v>BRUNO VALERIO HENRIQUE</v>
      </c>
      <c r="D225" s="5" t="str">
        <f>Transferencia!D225</f>
        <v>brunovhenrique@gmail.com</v>
      </c>
      <c r="E225" s="5" t="str">
        <f>Transferencia!G225</f>
        <v>5531988857001</v>
      </c>
      <c r="F225" s="5" t="str">
        <f>Transferencia!H225</f>
        <v xml:space="preserve">e-CPF A3 - 3 anos </v>
      </c>
      <c r="G225" s="6" t="str">
        <f>Transferencia!J225</f>
        <v>Ponto de Atendimento AR Certifast - Prado BH/MG - JUS</v>
      </c>
      <c r="H225" s="4" t="str">
        <f>VLOOKUP(G225,Página1!G:L,6,0)</f>
        <v>Isabella</v>
      </c>
      <c r="I225" s="4" t="s">
        <v>16</v>
      </c>
      <c r="J225" s="5" t="str">
        <f>Transferencia!L225</f>
        <v>088.079.676-69</v>
      </c>
      <c r="K225" s="5" t="str">
        <f>Transferencia!M225</f>
        <v/>
      </c>
      <c r="L225" s="5"/>
    </row>
    <row r="226" spans="1:12" ht="15.75" customHeight="1">
      <c r="A226" s="5" t="str">
        <f>Transferencia!A226</f>
        <v>20107813</v>
      </c>
      <c r="B226" s="5" t="str">
        <f>Transferencia!B226</f>
        <v>16/02/2025</v>
      </c>
      <c r="C226" s="5" t="str">
        <f>Transferencia!C226</f>
        <v>LEILA CRISTINA ANTUNES DAVID</v>
      </c>
      <c r="D226" s="5" t="str">
        <f>Transferencia!D226</f>
        <v>leiladavid052@gmail.com</v>
      </c>
      <c r="E226" s="5" t="str">
        <f>Transferencia!G226</f>
        <v>551298808751</v>
      </c>
      <c r="F226" s="5" t="str">
        <f>Transferencia!H226</f>
        <v xml:space="preserve">e-CPF A3 - 3 anos </v>
      </c>
      <c r="G226" s="6" t="str">
        <f>Transferencia!J226</f>
        <v>PONTO DE ATENDIMENTO AR CERTIFAST - ANDROMEDA/SP</v>
      </c>
      <c r="H226" s="4" t="str">
        <f>VLOOKUP(G226,Página1!G:L,6,0)</f>
        <v>Rogério</v>
      </c>
      <c r="I226" s="4" t="s">
        <v>16</v>
      </c>
      <c r="J226" s="5" t="str">
        <f>Transferencia!L226</f>
        <v>049.513.948-39</v>
      </c>
      <c r="K226" s="5" t="str">
        <f>Transferencia!M226</f>
        <v/>
      </c>
      <c r="L226" s="5"/>
    </row>
    <row r="227" spans="1:12" ht="15.75" customHeight="1">
      <c r="A227" s="5" t="str">
        <f>Transferencia!A227</f>
        <v>20108089</v>
      </c>
      <c r="B227" s="5" t="str">
        <f>Transferencia!B227</f>
        <v>16/02/2025</v>
      </c>
      <c r="C227" s="5" t="str">
        <f>Transferencia!C227</f>
        <v>MARINA DE OLIVEIRA NAKABAYASHI</v>
      </c>
      <c r="D227" s="5" t="str">
        <f>Transferencia!D227</f>
        <v>MARINA.NAKABAYASHI@MERCK.COM</v>
      </c>
      <c r="E227" s="5" t="str">
        <f>Transferencia!G227</f>
        <v>5511975537375</v>
      </c>
      <c r="F227" s="5" t="str">
        <f>Transferencia!H227</f>
        <v xml:space="preserve">e-CPF A3 </v>
      </c>
      <c r="G227" s="6" t="str">
        <f>Transferencia!J227</f>
        <v>AR Certifast</v>
      </c>
      <c r="H227" s="4" t="str">
        <f>VLOOKUP(G227,Página1!G:L,6,0)</f>
        <v>Alexandre</v>
      </c>
      <c r="I227" s="4" t="s">
        <v>16</v>
      </c>
      <c r="J227" s="5" t="str">
        <f>Transferencia!L227</f>
        <v>326.193.238-43</v>
      </c>
      <c r="K227" s="5" t="str">
        <f>Transferencia!M227</f>
        <v/>
      </c>
      <c r="L227" s="5"/>
    </row>
    <row r="228" spans="1:12" ht="15.75" customHeight="1">
      <c r="A228" s="5" t="str">
        <f>Transferencia!A228</f>
        <v>20110636</v>
      </c>
      <c r="B228" s="5" t="str">
        <f>Transferencia!B228</f>
        <v>16/02/2025</v>
      </c>
      <c r="C228" s="5" t="str">
        <f>Transferencia!C228</f>
        <v>PATRICK OLIVEIRA DA SILVA</v>
      </c>
      <c r="D228" s="5" t="str">
        <f>Transferencia!D228</f>
        <v>PATRICKDEOLIVA85@HOTMAIL.COM</v>
      </c>
      <c r="E228" s="5" t="str">
        <f>Transferencia!G228</f>
        <v>5511973343647</v>
      </c>
      <c r="F228" s="5" t="str">
        <f>Transferencia!H228</f>
        <v xml:space="preserve">e-CPF A3 - 3 anos </v>
      </c>
      <c r="G228" s="6" t="str">
        <f>Transferencia!J228</f>
        <v>AR Certifast</v>
      </c>
      <c r="H228" s="4" t="str">
        <f>VLOOKUP(G228,Página1!G:L,6,0)</f>
        <v>Alexandre</v>
      </c>
      <c r="I228" s="4" t="s">
        <v>16</v>
      </c>
      <c r="J228" s="5" t="str">
        <f>Transferencia!L228</f>
        <v>324.090.328-85</v>
      </c>
      <c r="K228" s="5" t="str">
        <f>Transferencia!M228</f>
        <v/>
      </c>
      <c r="L228" s="5"/>
    </row>
    <row r="229" spans="1:12" ht="15.75" customHeight="1">
      <c r="A229" s="5" t="str">
        <f>Transferencia!A229</f>
        <v>23032661</v>
      </c>
      <c r="B229" s="5" t="str">
        <f>Transferencia!B229</f>
        <v>16/02/2025</v>
      </c>
      <c r="C229" s="5" t="str">
        <f>Transferencia!C229</f>
        <v>MAGNER ALANDEY DANTAS DA SILVA</v>
      </c>
      <c r="D229" s="5" t="str">
        <f>Transferencia!D229</f>
        <v>magner.dantas@gmail.com</v>
      </c>
      <c r="E229" s="5" t="str">
        <f>Transferencia!G229</f>
        <v>5511985679001</v>
      </c>
      <c r="F229" s="5" t="str">
        <f>Transferencia!H229</f>
        <v xml:space="preserve">e-CNPJ A1 - PME </v>
      </c>
      <c r="G229" s="6" t="str">
        <f>Transferencia!J229</f>
        <v>PONTO DE ATENDIMENTO AR CERTIFAST - CARIJOS - STA/SP</v>
      </c>
      <c r="H229" s="4" t="str">
        <f>VLOOKUP(G229,Página1!G:L,6,0)</f>
        <v>Alexandre</v>
      </c>
      <c r="I229" s="4" t="s">
        <v>16</v>
      </c>
      <c r="J229" s="5" t="str">
        <f>Transferencia!L229</f>
        <v>217.848.238-48</v>
      </c>
      <c r="K229" s="5" t="str">
        <f>Transferencia!M229</f>
        <v>27.501.924/0001-28</v>
      </c>
      <c r="L229" s="5" t="s">
        <v>202</v>
      </c>
    </row>
    <row r="230" spans="1:12" ht="15.75" customHeight="1">
      <c r="A230" s="5" t="str">
        <f>Transferencia!A230</f>
        <v>23066850</v>
      </c>
      <c r="B230" s="5" t="str">
        <f>Transferencia!B230</f>
        <v>16/02/2025</v>
      </c>
      <c r="C230" s="5" t="str">
        <f>Transferencia!C230</f>
        <v>FABIO MORENO FERREIRA</v>
      </c>
      <c r="D230" s="5" t="str">
        <f>Transferencia!D230</f>
        <v>contato@geeklandia.com.br</v>
      </c>
      <c r="E230" s="5" t="str">
        <f>Transferencia!G230</f>
        <v>5511994893629</v>
      </c>
      <c r="F230" s="5" t="str">
        <f>Transferencia!H230</f>
        <v xml:space="preserve">e-CNPJ A1 - 1 ano </v>
      </c>
      <c r="G230" s="6" t="str">
        <f>Transferencia!J230</f>
        <v>PONTO DE ATENDIMENTO AR CERTIFAST - CARIJOS - STA/SP</v>
      </c>
      <c r="H230" s="4" t="str">
        <f>VLOOKUP(G230,Página1!G:L,6,0)</f>
        <v>Alexandre</v>
      </c>
      <c r="I230" s="4" t="s">
        <v>16</v>
      </c>
      <c r="J230" s="5" t="str">
        <f>Transferencia!L230</f>
        <v>369.402.528-60</v>
      </c>
      <c r="K230" s="5" t="str">
        <f>Transferencia!M230</f>
        <v>26.725.198/0001-64</v>
      </c>
      <c r="L230" s="5"/>
    </row>
    <row r="231" spans="1:12" ht="15.75" customHeight="1">
      <c r="A231" s="5" t="str">
        <f>Transferencia!A231</f>
        <v>23068853</v>
      </c>
      <c r="B231" s="5" t="str">
        <f>Transferencia!B231</f>
        <v>16/02/2025</v>
      </c>
      <c r="C231" s="5" t="str">
        <f>Transferencia!C231</f>
        <v>MARCOS ANTONIO FLORES GONCALVES</v>
      </c>
      <c r="D231" s="5" t="str">
        <f>Transferencia!D231</f>
        <v>marcos.goncalves@solucx.com.br</v>
      </c>
      <c r="E231" s="5" t="str">
        <f>Transferencia!G231</f>
        <v>5512996845370</v>
      </c>
      <c r="F231" s="5" t="str">
        <f>Transferencia!H231</f>
        <v xml:space="preserve">e-CNPJ A1 - PME </v>
      </c>
      <c r="G231" s="6" t="str">
        <f>Transferencia!J231</f>
        <v>PONTO DE ATENDIMENTO AR CERTIFAST - ANDROMEDA/SP</v>
      </c>
      <c r="H231" s="4" t="str">
        <f>VLOOKUP(G231,Página1!G:L,6,0)</f>
        <v>Rogério</v>
      </c>
      <c r="I231" s="4" t="s">
        <v>16</v>
      </c>
      <c r="J231" s="5" t="str">
        <f>Transferencia!L231</f>
        <v>436.549.638-70</v>
      </c>
      <c r="K231" s="5" t="str">
        <f>Transferencia!M231</f>
        <v>42.646.537/0001-73</v>
      </c>
      <c r="L231" s="5"/>
    </row>
    <row r="232" spans="1:12" ht="15.75" customHeight="1">
      <c r="A232" s="5" t="str">
        <f>Transferencia!A232</f>
        <v>19247552</v>
      </c>
      <c r="B232" s="5" t="str">
        <f>Transferencia!B232</f>
        <v>17/02/2025</v>
      </c>
      <c r="C232" s="5" t="str">
        <f>Transferencia!C232</f>
        <v>ALLAN PIRES FERNANDES</v>
      </c>
      <c r="D232" s="5" t="str">
        <f>Transferencia!D232</f>
        <v>allan.fernandes@tjmg.jus.br</v>
      </c>
      <c r="E232" s="5" t="str">
        <f>Transferencia!G232</f>
        <v>553133321049</v>
      </c>
      <c r="F232" s="5" t="str">
        <f>Transferencia!H232</f>
        <v xml:space="preserve">e-CPF A3 - 3 anos </v>
      </c>
      <c r="G232" s="6" t="str">
        <f>Transferencia!J232</f>
        <v>Ponto de Atendimento AR Certifast - Pauliceia/SP - Jus</v>
      </c>
      <c r="H232" s="4" t="e">
        <f>VLOOKUP(G232,Página1!G:L,6,0)</f>
        <v>#N/A</v>
      </c>
      <c r="I232" s="4" t="s">
        <v>16</v>
      </c>
      <c r="J232" s="5" t="str">
        <f>Transferencia!L232</f>
        <v>068.821.636-69</v>
      </c>
      <c r="K232" s="5" t="str">
        <f>Transferencia!M232</f>
        <v/>
      </c>
      <c r="L232" s="5"/>
    </row>
    <row r="233" spans="1:12" ht="15.75" customHeight="1">
      <c r="A233" s="5" t="str">
        <f>Transferencia!A233</f>
        <v>20003379</v>
      </c>
      <c r="B233" s="5" t="str">
        <f>Transferencia!B233</f>
        <v>17/02/2025</v>
      </c>
      <c r="C233" s="5" t="str">
        <f>Transferencia!C233</f>
        <v>BARBARA BARBOSA DIAS DOS ANJOS</v>
      </c>
      <c r="D233" s="5" t="str">
        <f>Transferencia!D233</f>
        <v>barbara.anjos@fjp.mg.gov.br</v>
      </c>
      <c r="E233" s="5" t="str">
        <f>Transferencia!G233</f>
        <v>553134489508</v>
      </c>
      <c r="F233" s="5" t="str">
        <f>Transferencia!H233</f>
        <v xml:space="preserve">e-CPF A3 </v>
      </c>
      <c r="G233" s="6" t="str">
        <f>Transferencia!J233</f>
        <v>Ponto de Atendimento AR Certifast - Prado BH/MG</v>
      </c>
      <c r="H233" s="4" t="str">
        <f>VLOOKUP(G233,Página1!G:L,6,0)</f>
        <v>Isabella</v>
      </c>
      <c r="I233" s="4" t="s">
        <v>16</v>
      </c>
      <c r="J233" s="5" t="str">
        <f>Transferencia!L233</f>
        <v>088.710.206-93</v>
      </c>
      <c r="K233" s="5" t="str">
        <f>Transferencia!M233</f>
        <v/>
      </c>
      <c r="L233" s="5" t="s">
        <v>203</v>
      </c>
    </row>
    <row r="234" spans="1:12" ht="15.75" customHeight="1">
      <c r="A234" s="5" t="str">
        <f>Transferencia!A234</f>
        <v>20049525</v>
      </c>
      <c r="B234" s="5" t="str">
        <f>Transferencia!B234</f>
        <v>17/02/2025</v>
      </c>
      <c r="C234" s="5" t="str">
        <f>Transferencia!C234</f>
        <v>BEATRIZ KERR DE MENDONCA</v>
      </c>
      <c r="D234" s="5" t="str">
        <f>Transferencia!D234</f>
        <v>BEATRIZKERR@HOTMAIL.COM</v>
      </c>
      <c r="E234" s="5" t="str">
        <f>Transferencia!G234</f>
        <v>5511992030100</v>
      </c>
      <c r="F234" s="5" t="str">
        <f>Transferencia!H234</f>
        <v xml:space="preserve">e-CNPJ A3 </v>
      </c>
      <c r="G234" s="6" t="str">
        <f>Transferencia!J234</f>
        <v>Ponto de Atendimento AR Certifast - Pauliceia/SP</v>
      </c>
      <c r="H234" s="4" t="str">
        <f>VLOOKUP(G234,Página1!G:L,6,0)</f>
        <v>Alexandre</v>
      </c>
      <c r="I234" s="4" t="s">
        <v>16</v>
      </c>
      <c r="J234" s="5" t="str">
        <f>Transferencia!L234</f>
        <v>283.269.938-32</v>
      </c>
      <c r="K234" s="5" t="str">
        <f>Transferencia!M234</f>
        <v>24.272.464/0001-15</v>
      </c>
      <c r="L234" s="5"/>
    </row>
    <row r="235" spans="1:12" ht="15.75" customHeight="1">
      <c r="A235" s="5" t="str">
        <f>Transferencia!A235</f>
        <v>20058612</v>
      </c>
      <c r="B235" s="5" t="str">
        <f>Transferencia!B235</f>
        <v>17/02/2025</v>
      </c>
      <c r="C235" s="5" t="str">
        <f>Transferencia!C235</f>
        <v>VALTER GURFINKEL</v>
      </c>
      <c r="D235" s="5" t="str">
        <f>Transferencia!D235</f>
        <v>contato@medicosperitos.com.br</v>
      </c>
      <c r="E235" s="5" t="str">
        <f>Transferencia!G235</f>
        <v>551136604100</v>
      </c>
      <c r="F235" s="5" t="str">
        <f>Transferencia!H235</f>
        <v xml:space="preserve">e-CNPJ A3 - 3 anos - PME </v>
      </c>
      <c r="G235" s="6" t="str">
        <f>Transferencia!J235</f>
        <v>AR Certifast</v>
      </c>
      <c r="H235" s="4" t="str">
        <f>VLOOKUP(G235,Página1!G:L,6,0)</f>
        <v>Alexandre</v>
      </c>
      <c r="I235" s="4" t="s">
        <v>16</v>
      </c>
      <c r="J235" s="5" t="str">
        <f>Transferencia!L235</f>
        <v>040.055.478-00</v>
      </c>
      <c r="K235" s="5" t="str">
        <f>Transferencia!M235</f>
        <v>03.566.764/0001-37</v>
      </c>
      <c r="L235" s="5" t="s">
        <v>204</v>
      </c>
    </row>
    <row r="236" spans="1:12" ht="15.75" customHeight="1">
      <c r="A236" s="5" t="str">
        <f>Transferencia!A236</f>
        <v>20065499</v>
      </c>
      <c r="B236" s="5" t="str">
        <f>Transferencia!B236</f>
        <v>17/02/2025</v>
      </c>
      <c r="C236" s="5" t="str">
        <f>Transferencia!C236</f>
        <v>CLELIA LEITE CARVALHO XAVIER</v>
      </c>
      <c r="D236" s="5" t="str">
        <f>Transferencia!D236</f>
        <v>3arquitetosassociados@gmail.com</v>
      </c>
      <c r="E236" s="5" t="str">
        <f>Transferencia!G236</f>
        <v>5585991562424</v>
      </c>
      <c r="F236" s="5" t="str">
        <f>Transferencia!H236</f>
        <v xml:space="preserve">e-CNPJ A3 - 3 anos - PME </v>
      </c>
      <c r="G236" s="6" t="str">
        <f>Transferencia!J236</f>
        <v>AR Certifast</v>
      </c>
      <c r="H236" s="4" t="str">
        <f>VLOOKUP(G236,Página1!G:L,6,0)</f>
        <v>Alexandre</v>
      </c>
      <c r="I236" s="4" t="s">
        <v>16</v>
      </c>
      <c r="J236" s="5" t="str">
        <f>Transferencia!L236</f>
        <v>187.207.143-00</v>
      </c>
      <c r="K236" s="5" t="str">
        <f>Transferencia!M236</f>
        <v>12.286.142/0001-46</v>
      </c>
      <c r="L236" s="5"/>
    </row>
    <row r="237" spans="1:12" ht="15.75" customHeight="1">
      <c r="A237" s="5" t="str">
        <f>Transferencia!A237</f>
        <v>20108550</v>
      </c>
      <c r="B237" s="5" t="str">
        <f>Transferencia!B237</f>
        <v>17/02/2025</v>
      </c>
      <c r="C237" s="5" t="str">
        <f>Transferencia!C237</f>
        <v>GEORGE ABI RIHAN CORDEIRO</v>
      </c>
      <c r="D237" s="5" t="str">
        <f>Transferencia!D237</f>
        <v>GARC@TERRA.COM.BR</v>
      </c>
      <c r="E237" s="5" t="str">
        <f>Transferencia!G237</f>
        <v>5521993018872</v>
      </c>
      <c r="F237" s="5" t="str">
        <f>Transferencia!H237</f>
        <v xml:space="preserve">e-CPF A3 - 3 anos </v>
      </c>
      <c r="G237" s="6" t="str">
        <f>Transferencia!J237</f>
        <v>Ponto de Atendimento AR Certifast - Pauliceia/SP</v>
      </c>
      <c r="H237" s="4" t="str">
        <f>VLOOKUP(G237,Página1!G:L,6,0)</f>
        <v>Alexandre</v>
      </c>
      <c r="I237" s="4" t="s">
        <v>16</v>
      </c>
      <c r="J237" s="5" t="str">
        <f>Transferencia!L237</f>
        <v>665.172.817-20</v>
      </c>
      <c r="K237" s="5" t="str">
        <f>Transferencia!M237</f>
        <v/>
      </c>
      <c r="L237" s="5" t="s">
        <v>205</v>
      </c>
    </row>
    <row r="238" spans="1:12" ht="15.75" customHeight="1">
      <c r="A238" s="5" t="str">
        <f>Transferencia!A238</f>
        <v>20101446</v>
      </c>
      <c r="B238" s="5" t="str">
        <f>Transferencia!B238</f>
        <v>18/02/2025</v>
      </c>
      <c r="C238" s="5" t="str">
        <f>Transferencia!C238</f>
        <v>EVANDRO NOBREGA AZINHEIRA</v>
      </c>
      <c r="D238" s="5" t="str">
        <f>Transferencia!D238</f>
        <v>evandro@eazseguros.com.br</v>
      </c>
      <c r="E238" s="5" t="str">
        <f>Transferencia!G238</f>
        <v>5511999532009</v>
      </c>
      <c r="F238" s="5" t="str">
        <f>Transferencia!H238</f>
        <v xml:space="preserve">e-CNPJ A3 - 3 anos </v>
      </c>
      <c r="G238" s="6" t="str">
        <f>Transferencia!J238</f>
        <v>AR Certifast</v>
      </c>
      <c r="H238" s="4" t="str">
        <f>VLOOKUP(G238,Página1!G:L,6,0)</f>
        <v>Alexandre</v>
      </c>
      <c r="I238" s="4" t="s">
        <v>16</v>
      </c>
      <c r="J238" s="5" t="str">
        <f>Transferencia!L238</f>
        <v>195.822.518-59</v>
      </c>
      <c r="K238" s="5" t="str">
        <f>Transferencia!M238</f>
        <v>06.299.003/0001-54</v>
      </c>
      <c r="L238" s="5" t="s">
        <v>206</v>
      </c>
    </row>
    <row r="239" spans="1:12" ht="15.75" customHeight="1">
      <c r="A239" s="5" t="str">
        <f>Transferencia!A239</f>
        <v>23009851</v>
      </c>
      <c r="B239" s="5" t="str">
        <f>Transferencia!B239</f>
        <v>18/02/2025</v>
      </c>
      <c r="C239" s="5" t="str">
        <f>Transferencia!C239</f>
        <v>OTHON SERGIO GODINHO</v>
      </c>
      <c r="D239" s="5" t="str">
        <f>Transferencia!D239</f>
        <v>othonsergio@internacionalnet.com.br</v>
      </c>
      <c r="E239" s="5" t="str">
        <f>Transferencia!G239</f>
        <v>5531995917369</v>
      </c>
      <c r="F239" s="5" t="str">
        <f>Transferencia!H239</f>
        <v xml:space="preserve">e-CPF A1 - 1 ano </v>
      </c>
      <c r="G239" s="6" t="str">
        <f>Transferencia!J239</f>
        <v>Ponto de Atendimento AR Certifast - Prado BH/MG</v>
      </c>
      <c r="H239" s="4" t="str">
        <f>VLOOKUP(G239,Página1!G:L,6,0)</f>
        <v>Isabella</v>
      </c>
      <c r="I239" s="4" t="s">
        <v>16</v>
      </c>
      <c r="J239" s="5" t="str">
        <f>Transferencia!L239</f>
        <v>124.440.656-20</v>
      </c>
      <c r="K239" s="5" t="str">
        <f>Transferencia!M239</f>
        <v/>
      </c>
      <c r="L239" s="5" t="s">
        <v>207</v>
      </c>
    </row>
    <row r="240" spans="1:12" ht="15.75" customHeight="1">
      <c r="A240" s="5" t="str">
        <f>Transferencia!A240</f>
        <v>23014515</v>
      </c>
      <c r="B240" s="5" t="str">
        <f>Transferencia!B240</f>
        <v>18/02/2025</v>
      </c>
      <c r="C240" s="5" t="str">
        <f>Transferencia!C240</f>
        <v>FELIPPE JOSE RANIERI MENDES DOS SANTOS</v>
      </c>
      <c r="D240" s="5" t="str">
        <f>Transferencia!D240</f>
        <v>ranieri.felippe@gmail.com</v>
      </c>
      <c r="E240" s="5" t="str">
        <f>Transferencia!G240</f>
        <v>55</v>
      </c>
      <c r="F240" s="5" t="str">
        <f>Transferencia!H240</f>
        <v xml:space="preserve">e-CNPJ A1 - 1 ano </v>
      </c>
      <c r="G240" s="6" t="str">
        <f>Transferencia!J240</f>
        <v>Ponto de Atendimento AR Certifast - Maua Centro/SP</v>
      </c>
      <c r="H240" s="4" t="str">
        <f>VLOOKUP(G240,Página1!G:L,6,0)</f>
        <v>Ingrid</v>
      </c>
      <c r="I240" s="4" t="s">
        <v>16</v>
      </c>
      <c r="J240" s="5" t="str">
        <f>Transferencia!L240</f>
        <v>336.218.698-08</v>
      </c>
      <c r="K240" s="5" t="str">
        <f>Transferencia!M240</f>
        <v>11.130.084/0001-02</v>
      </c>
      <c r="L240" s="5" t="s">
        <v>208</v>
      </c>
    </row>
    <row r="241" spans="1:12" ht="15.75" customHeight="1">
      <c r="A241" s="5" t="str">
        <f>Transferencia!A241</f>
        <v>23037542</v>
      </c>
      <c r="B241" s="5" t="str">
        <f>Transferencia!B241</f>
        <v>18/02/2025</v>
      </c>
      <c r="C241" s="5" t="str">
        <f>Transferencia!C241</f>
        <v>EDMILSON SENA DA SILVA</v>
      </c>
      <c r="D241" s="5" t="str">
        <f>Transferencia!D241</f>
        <v>ed.sena747@gmail.com</v>
      </c>
      <c r="E241" s="5" t="str">
        <f>Transferencia!G241</f>
        <v>5511974868703</v>
      </c>
      <c r="F241" s="5" t="str">
        <f>Transferencia!H241</f>
        <v xml:space="preserve">e-CPF A1 - 1 ano </v>
      </c>
      <c r="G241" s="6" t="str">
        <f>Transferencia!J241</f>
        <v>PONTO DE ATENDIMENTO AR CERTIFAST - ANDROMEDA/SP</v>
      </c>
      <c r="H241" s="4" t="str">
        <f>VLOOKUP(G241,Página1!G:L,6,0)</f>
        <v>Rogério</v>
      </c>
      <c r="I241" s="4" t="s">
        <v>16</v>
      </c>
      <c r="J241" s="5" t="str">
        <f>Transferencia!L241</f>
        <v>610.567.238-15</v>
      </c>
      <c r="K241" s="5" t="str">
        <f>Transferencia!M241</f>
        <v/>
      </c>
      <c r="L241" s="5" t="s">
        <v>209</v>
      </c>
    </row>
    <row r="242" spans="1:12" ht="15.75" customHeight="1">
      <c r="A242" s="5" t="str">
        <f>Transferencia!A242</f>
        <v>23047796</v>
      </c>
      <c r="B242" s="5" t="str">
        <f>Transferencia!B242</f>
        <v>18/02/2025</v>
      </c>
      <c r="C242" s="5" t="str">
        <f>Transferencia!C242</f>
        <v>NATALIA REIS FRAGA</v>
      </c>
      <c r="D242" s="5" t="str">
        <f>Transferencia!D242</f>
        <v>tatianaluzi@hotmail.com</v>
      </c>
      <c r="E242" s="5" t="str">
        <f>Transferencia!G242</f>
        <v>55</v>
      </c>
      <c r="F242" s="5" t="str">
        <f>Transferencia!H242</f>
        <v xml:space="preserve">e-CNPJ A1 - 1 ano </v>
      </c>
      <c r="G242" s="6" t="str">
        <f>Transferencia!J242</f>
        <v>Ponto de Atendimento AR Certifast - Maua Centro/SP</v>
      </c>
      <c r="H242" s="4" t="str">
        <f>VLOOKUP(G242,Página1!G:L,6,0)</f>
        <v>Ingrid</v>
      </c>
      <c r="I242" s="4" t="s">
        <v>16</v>
      </c>
      <c r="J242" s="5" t="str">
        <f>Transferencia!L242</f>
        <v>402.506.138-40</v>
      </c>
      <c r="K242" s="5" t="str">
        <f>Transferencia!M242</f>
        <v>21.918.278/0001-12</v>
      </c>
      <c r="L242" s="5"/>
    </row>
    <row r="243" spans="1:12" ht="15.75" customHeight="1">
      <c r="A243" s="5" t="str">
        <f>Transferencia!A243</f>
        <v>23049292</v>
      </c>
      <c r="B243" s="5" t="str">
        <f>Transferencia!B243</f>
        <v>18/02/2025</v>
      </c>
      <c r="C243" s="5" t="str">
        <f>Transferencia!C243</f>
        <v>THAIS DRESSLER MARQUES</v>
      </c>
      <c r="D243" s="5" t="str">
        <f>Transferencia!D243</f>
        <v>thaisdressler@hotmail.com</v>
      </c>
      <c r="E243" s="5" t="str">
        <f>Transferencia!G243</f>
        <v>5511985246462</v>
      </c>
      <c r="F243" s="5" t="str">
        <f>Transferencia!H243</f>
        <v xml:space="preserve">e-CNPJ A1 - 1 ano </v>
      </c>
      <c r="G243" s="6" t="str">
        <f>Transferencia!J243</f>
        <v>AR Certifast</v>
      </c>
      <c r="H243" s="4" t="str">
        <f>VLOOKUP(G243,Página1!G:L,6,0)</f>
        <v>Alexandre</v>
      </c>
      <c r="I243" s="4" t="s">
        <v>16</v>
      </c>
      <c r="J243" s="5" t="str">
        <f>Transferencia!L243</f>
        <v>329.914.558-45</v>
      </c>
      <c r="K243" s="5" t="str">
        <f>Transferencia!M243</f>
        <v>37.640.510/0001-33</v>
      </c>
      <c r="L243" s="5"/>
    </row>
    <row r="244" spans="1:12" ht="15.75" customHeight="1">
      <c r="A244" s="5" t="str">
        <f>Transferencia!A244</f>
        <v>23053908</v>
      </c>
      <c r="B244" s="5" t="str">
        <f>Transferencia!B244</f>
        <v>18/02/2025</v>
      </c>
      <c r="C244" s="5" t="str">
        <f>Transferencia!C244</f>
        <v>ANDERSON CASTRO</v>
      </c>
      <c r="D244" s="5" t="str">
        <f>Transferencia!D244</f>
        <v>jh.contabilidade@hotmail.com</v>
      </c>
      <c r="E244" s="5" t="str">
        <f>Transferencia!G244</f>
        <v>5511997798651</v>
      </c>
      <c r="F244" s="5" t="str">
        <f>Transferencia!H244</f>
        <v xml:space="preserve">e-CNPJ A1 - PME </v>
      </c>
      <c r="G244" s="6" t="str">
        <f>Transferencia!J244</f>
        <v>PONTO DE ATENDIMENTO AR CERTIFAST - ANDROMEDA/SP</v>
      </c>
      <c r="H244" s="4" t="str">
        <f>VLOOKUP(G244,Página1!G:L,6,0)</f>
        <v>Rogério</v>
      </c>
      <c r="I244" s="4" t="s">
        <v>16</v>
      </c>
      <c r="J244" s="5" t="str">
        <f>Transferencia!L244</f>
        <v>372.852.658-45</v>
      </c>
      <c r="K244" s="5" t="str">
        <f>Transferencia!M244</f>
        <v>20.461.178/0001-47</v>
      </c>
      <c r="L244" s="5"/>
    </row>
    <row r="245" spans="1:12" ht="15.75" customHeight="1">
      <c r="A245" s="5" t="str">
        <f>Transferencia!A245</f>
        <v>23056529</v>
      </c>
      <c r="B245" s="5" t="str">
        <f>Transferencia!B245</f>
        <v>18/02/2025</v>
      </c>
      <c r="C245" s="5" t="str">
        <f>Transferencia!C245</f>
        <v>THAIS RIBEIRO DOMICIANO</v>
      </c>
      <c r="D245" s="5" t="str">
        <f>Transferencia!D245</f>
        <v>mavilinborges@gmail.com</v>
      </c>
      <c r="E245" s="5" t="str">
        <f>Transferencia!G245</f>
        <v>5511952315542</v>
      </c>
      <c r="F245" s="5" t="str">
        <f>Transferencia!H245</f>
        <v xml:space="preserve">e-CNPJ A1 - PME </v>
      </c>
      <c r="G245" s="6" t="str">
        <f>Transferencia!J245</f>
        <v>PONTO DE ATENDIMENTO AR CERTIFAST - ANDROMEDA/SP</v>
      </c>
      <c r="H245" s="4" t="str">
        <f>VLOOKUP(G245,Página1!G:L,6,0)</f>
        <v>Rogério</v>
      </c>
      <c r="I245" s="4" t="s">
        <v>16</v>
      </c>
      <c r="J245" s="5" t="str">
        <f>Transferencia!L245</f>
        <v>337.474.268-83</v>
      </c>
      <c r="K245" s="5" t="str">
        <f>Transferencia!M245</f>
        <v>52.178.053/0001-09</v>
      </c>
      <c r="L245" s="5" t="s">
        <v>210</v>
      </c>
    </row>
    <row r="246" spans="1:12" ht="15.75" customHeight="1">
      <c r="A246" s="5" t="str">
        <f>Transferencia!A246</f>
        <v>23059809</v>
      </c>
      <c r="B246" s="5" t="str">
        <f>Transferencia!B246</f>
        <v>18/02/2025</v>
      </c>
      <c r="C246" s="5" t="str">
        <f>Transferencia!C246</f>
        <v>PATRICIA DO VALE MOORE</v>
      </c>
      <c r="D246" s="5" t="str">
        <f>Transferencia!D246</f>
        <v>contato@marikotajogos.com.br</v>
      </c>
      <c r="E246" s="5" t="str">
        <f>Transferencia!G246</f>
        <v>5531998393300</v>
      </c>
      <c r="F246" s="5" t="str">
        <f>Transferencia!H246</f>
        <v xml:space="preserve">e-CNPJ A1 - 1 ano </v>
      </c>
      <c r="G246" s="6" t="str">
        <f>Transferencia!J246</f>
        <v>Ponto de Atendimento AR Certifast - Prado BH/MG</v>
      </c>
      <c r="H246" s="4" t="str">
        <f>VLOOKUP(G246,Página1!G:L,6,0)</f>
        <v>Isabella</v>
      </c>
      <c r="I246" s="4" t="s">
        <v>16</v>
      </c>
      <c r="J246" s="5" t="str">
        <f>Transferencia!L246</f>
        <v>979.825.987-49</v>
      </c>
      <c r="K246" s="5" t="str">
        <f>Transferencia!M246</f>
        <v>39.896.750/0001-29</v>
      </c>
      <c r="L246" s="5"/>
    </row>
    <row r="247" spans="1:12" ht="15.75" customHeight="1">
      <c r="A247" s="5" t="str">
        <f>Transferencia!A247</f>
        <v>23066329</v>
      </c>
      <c r="B247" s="5" t="str">
        <f>Transferencia!B247</f>
        <v>18/02/2025</v>
      </c>
      <c r="C247" s="5" t="str">
        <f>Transferencia!C247</f>
        <v>LUCAS NASTARI FERREIRA</v>
      </c>
      <c r="D247" s="5" t="str">
        <f>Transferencia!D247</f>
        <v>regiane@cbbsempresarial.com.br</v>
      </c>
      <c r="E247" s="5" t="str">
        <f>Transferencia!G247</f>
        <v>55</v>
      </c>
      <c r="F247" s="5" t="str">
        <f>Transferencia!H247</f>
        <v xml:space="preserve">e-CNPJ A1 - PME </v>
      </c>
      <c r="G247" s="6" t="str">
        <f>Transferencia!J247</f>
        <v>Ponto de Atendimento AR Certifast - Maua Centro/SP</v>
      </c>
      <c r="H247" s="4" t="str">
        <f>VLOOKUP(G247,Página1!G:L,6,0)</f>
        <v>Ingrid</v>
      </c>
      <c r="I247" s="4" t="s">
        <v>16</v>
      </c>
      <c r="J247" s="5" t="str">
        <f>Transferencia!L247</f>
        <v>481.269.088-90</v>
      </c>
      <c r="K247" s="5" t="str">
        <f>Transferencia!M247</f>
        <v>53.843.816/0001-43</v>
      </c>
      <c r="L247" s="5" t="s">
        <v>211</v>
      </c>
    </row>
    <row r="248" spans="1:12" ht="15.75" customHeight="1">
      <c r="A248" s="5" t="str">
        <f>Transferencia!A248</f>
        <v>23067067</v>
      </c>
      <c r="B248" s="5" t="str">
        <f>Transferencia!B248</f>
        <v>18/02/2025</v>
      </c>
      <c r="C248" s="5" t="str">
        <f>Transferencia!C248</f>
        <v>GERALDO AUGUSTO DE SOUZA</v>
      </c>
      <c r="D248" s="5" t="str">
        <f>Transferencia!D248</f>
        <v>coord.societario@reluzcontabil.com.br</v>
      </c>
      <c r="E248" s="5" t="str">
        <f>Transferencia!G248</f>
        <v>5511943484466</v>
      </c>
      <c r="F248" s="5" t="str">
        <f>Transferencia!H248</f>
        <v xml:space="preserve">e-CNPJ A1 - PME </v>
      </c>
      <c r="G248" s="6" t="str">
        <f>Transferencia!J248</f>
        <v>Ponto de Atendimento AR Certifast - Maua Centro/SP</v>
      </c>
      <c r="H248" s="4" t="str">
        <f>VLOOKUP(G248,Página1!G:L,6,0)</f>
        <v>Ingrid</v>
      </c>
      <c r="I248" s="4" t="s">
        <v>16</v>
      </c>
      <c r="J248" s="5" t="str">
        <f>Transferencia!L248</f>
        <v>050.232.778-28</v>
      </c>
      <c r="K248" s="5" t="str">
        <f>Transferencia!M248</f>
        <v>04.138.227/0001-59</v>
      </c>
      <c r="L248" s="5" t="s">
        <v>213</v>
      </c>
    </row>
    <row r="249" spans="1:12" ht="15.75" customHeight="1">
      <c r="A249" s="5" t="str">
        <f>Transferencia!A249</f>
        <v>23067123</v>
      </c>
      <c r="B249" s="5" t="str">
        <f>Transferencia!B249</f>
        <v>18/02/2025</v>
      </c>
      <c r="C249" s="5" t="str">
        <f>Transferencia!C249</f>
        <v>ROSA NEIDE PEREIRA MENDES DE SOUZA</v>
      </c>
      <c r="D249" s="5" t="str">
        <f>Transferencia!D249</f>
        <v>coord.societario@reluzcontabil.com.br</v>
      </c>
      <c r="E249" s="5" t="str">
        <f>Transferencia!G249</f>
        <v>5511971747111</v>
      </c>
      <c r="F249" s="5" t="str">
        <f>Transferencia!H249</f>
        <v xml:space="preserve">e-CPF A1 - 1 ano </v>
      </c>
      <c r="G249" s="6" t="str">
        <f>Transferencia!J249</f>
        <v>Ponto de Atendimento AR Certifast - Maua Centro/SP</v>
      </c>
      <c r="H249" s="4" t="str">
        <f>VLOOKUP(G249,Página1!G:L,6,0)</f>
        <v>Ingrid</v>
      </c>
      <c r="I249" s="4" t="s">
        <v>16</v>
      </c>
      <c r="J249" s="5" t="str">
        <f>Transferencia!L249</f>
        <v>082.265.328-17</v>
      </c>
      <c r="K249" s="5" t="str">
        <f>Transferencia!M249</f>
        <v/>
      </c>
      <c r="L249" s="5" t="s">
        <v>214</v>
      </c>
    </row>
    <row r="250" spans="1:12" ht="15.75" customHeight="1">
      <c r="A250" s="5" t="str">
        <f>Transferencia!A250</f>
        <v>23068574</v>
      </c>
      <c r="B250" s="5" t="str">
        <f>Transferencia!B250</f>
        <v>18/02/2025</v>
      </c>
      <c r="C250" s="5" t="str">
        <f>Transferencia!C250</f>
        <v>ROSIMEIRE ZAN DE CAMARGO</v>
      </c>
      <c r="D250" s="5" t="str">
        <f>Transferencia!D250</f>
        <v>coord.societario@reluzcontabil.com.br</v>
      </c>
      <c r="E250" s="5" t="str">
        <f>Transferencia!G250</f>
        <v>5511992963659</v>
      </c>
      <c r="F250" s="5" t="str">
        <f>Transferencia!H250</f>
        <v xml:space="preserve">e-CNPJ A1 - PME </v>
      </c>
      <c r="G250" s="6" t="str">
        <f>Transferencia!J250</f>
        <v>Ponto de Atendimento AR Certifast - Maua Centro/SP</v>
      </c>
      <c r="H250" s="4" t="str">
        <f>VLOOKUP(G250,Página1!G:L,6,0)</f>
        <v>Ingrid</v>
      </c>
      <c r="I250" s="4" t="s">
        <v>16</v>
      </c>
      <c r="J250" s="5" t="str">
        <f>Transferencia!L250</f>
        <v>609.163.468-20</v>
      </c>
      <c r="K250" s="5" t="str">
        <f>Transferencia!M250</f>
        <v>12.955.558/0001-00</v>
      </c>
      <c r="L250" s="5" t="s">
        <v>215</v>
      </c>
    </row>
    <row r="251" spans="1:12" ht="15.75" customHeight="1">
      <c r="A251" s="5" t="str">
        <f>Transferencia!A251</f>
        <v>23069009</v>
      </c>
      <c r="B251" s="5" t="str">
        <f>Transferencia!B251</f>
        <v>18/02/2025</v>
      </c>
      <c r="C251" s="5" t="str">
        <f>Transferencia!C251</f>
        <v>FABIANO DE ARAGAO SANTOS</v>
      </c>
      <c r="D251" s="5" t="str">
        <f>Transferencia!D251</f>
        <v>faaragao2017@gmail.com</v>
      </c>
      <c r="E251" s="5" t="str">
        <f>Transferencia!G251</f>
        <v>5511968992550</v>
      </c>
      <c r="F251" s="5" t="str">
        <f>Transferencia!H251</f>
        <v xml:space="preserve">e-CNPJ A1 - 1 ano </v>
      </c>
      <c r="G251" s="6" t="str">
        <f>Transferencia!J251</f>
        <v>Ponto de Atendimento AR Certifast - Maua Centro/SP</v>
      </c>
      <c r="H251" s="4" t="str">
        <f>VLOOKUP(G251,Página1!G:L,6,0)</f>
        <v>Ingrid</v>
      </c>
      <c r="I251" s="4" t="s">
        <v>16</v>
      </c>
      <c r="J251" s="5" t="str">
        <f>Transferencia!L251</f>
        <v>220.228.388-90</v>
      </c>
      <c r="K251" s="5" t="str">
        <f>Transferencia!M251</f>
        <v>38.048.196/0001-67</v>
      </c>
      <c r="L251" s="5" t="s">
        <v>216</v>
      </c>
    </row>
    <row r="252" spans="1:12" ht="15.75" customHeight="1">
      <c r="A252" s="5" t="str">
        <f>Transferencia!A252</f>
        <v>23072637</v>
      </c>
      <c r="B252" s="5" t="str">
        <f>Transferencia!B252</f>
        <v>18/02/2025</v>
      </c>
      <c r="C252" s="5" t="str">
        <f>Transferencia!C252</f>
        <v>PATRICIA JARJOUR BARRETO TAVARES</v>
      </c>
      <c r="D252" s="5" t="str">
        <f>Transferencia!D252</f>
        <v>iago@hammertec.com.br</v>
      </c>
      <c r="E252" s="5" t="str">
        <f>Transferencia!G252</f>
        <v>5537999079490</v>
      </c>
      <c r="F252" s="5" t="str">
        <f>Transferencia!H252</f>
        <v xml:space="preserve">e-CNPJ A1 - PME </v>
      </c>
      <c r="G252" s="6" t="str">
        <f>Transferencia!J252</f>
        <v>Ponto de Atendimento AR Certifast - Prado BH/MG</v>
      </c>
      <c r="H252" s="4" t="str">
        <f>VLOOKUP(G252,Página1!G:L,6,0)</f>
        <v>Isabella</v>
      </c>
      <c r="I252" s="4" t="s">
        <v>16</v>
      </c>
      <c r="J252" s="5" t="str">
        <f>Transferencia!L252</f>
        <v>676.815.066-91</v>
      </c>
      <c r="K252" s="5" t="str">
        <f>Transferencia!M252</f>
        <v>41.419.553/0001-60</v>
      </c>
      <c r="L252" s="5" t="s">
        <v>217</v>
      </c>
    </row>
    <row r="253" spans="1:12" ht="15.75" customHeight="1">
      <c r="A253" s="5" t="str">
        <f>Transferencia!A253</f>
        <v>23077040</v>
      </c>
      <c r="B253" s="5" t="str">
        <f>Transferencia!B253</f>
        <v>18/02/2025</v>
      </c>
      <c r="C253" s="5" t="str">
        <f>Transferencia!C253</f>
        <v>LUDMILA FERREIRA DE SOUZA</v>
      </c>
      <c r="D253" s="5" t="str">
        <f>Transferencia!D253</f>
        <v>alexandre@relevantecontabil.com.br</v>
      </c>
      <c r="E253" s="5" t="str">
        <f>Transferencia!G253</f>
        <v>5512997118947</v>
      </c>
      <c r="F253" s="5" t="str">
        <f>Transferencia!H253</f>
        <v xml:space="preserve">e-CNPJ A1 - PME </v>
      </c>
      <c r="G253" s="6" t="str">
        <f>Transferencia!J253</f>
        <v>PONTO DE ATENDIMENTO AR CERTIFAST - ANDROMEDA/SP</v>
      </c>
      <c r="H253" s="4" t="str">
        <f>VLOOKUP(G253,Página1!G:L,6,0)</f>
        <v>Rogério</v>
      </c>
      <c r="I253" s="4" t="s">
        <v>16</v>
      </c>
      <c r="J253" s="5" t="str">
        <f>Transferencia!L253</f>
        <v>326.789.348-88</v>
      </c>
      <c r="K253" s="5" t="str">
        <f>Transferencia!M253</f>
        <v>26.806.343/0001-31</v>
      </c>
      <c r="L253" s="5"/>
    </row>
    <row r="254" spans="1:12" ht="15.75" customHeight="1">
      <c r="A254" s="5" t="str">
        <f>Transferencia!A254</f>
        <v>23078157</v>
      </c>
      <c r="B254" s="5" t="str">
        <f>Transferencia!B254</f>
        <v>18/02/2025</v>
      </c>
      <c r="C254" s="5" t="str">
        <f>Transferencia!C254</f>
        <v>TAMAR BERNARDO DE SOUZA VITUZZO</v>
      </c>
      <c r="D254" s="5" t="str">
        <f>Transferencia!D254</f>
        <v>fiscal@mvituzzo.com.br</v>
      </c>
      <c r="E254" s="5" t="str">
        <f>Transferencia!G254</f>
        <v>5512981311641</v>
      </c>
      <c r="F254" s="5" t="str">
        <f>Transferencia!H254</f>
        <v xml:space="preserve">e-CPF A1 - 1 ano </v>
      </c>
      <c r="G254" s="6" t="str">
        <f>Transferencia!J254</f>
        <v>PONTO DE ATENDIMENTO AR CERTIFAST - ANDROMEDA/SP</v>
      </c>
      <c r="H254" s="4" t="str">
        <f>VLOOKUP(G254,Página1!G:L,6,0)</f>
        <v>Rogério</v>
      </c>
      <c r="I254" s="4" t="s">
        <v>16</v>
      </c>
      <c r="J254" s="5" t="str">
        <f>Transferencia!L254</f>
        <v>146.917.285-20</v>
      </c>
      <c r="K254" s="5" t="str">
        <f>Transferencia!M254</f>
        <v/>
      </c>
      <c r="L254" s="5" t="s">
        <v>219</v>
      </c>
    </row>
    <row r="255" spans="1:12" ht="15.75" customHeight="1">
      <c r="A255" s="5" t="str">
        <f>Transferencia!A255</f>
        <v>23078268</v>
      </c>
      <c r="B255" s="5" t="str">
        <f>Transferencia!B255</f>
        <v>18/02/2025</v>
      </c>
      <c r="C255" s="5" t="str">
        <f>Transferencia!C255</f>
        <v>BRUNO HENRIQUE CURSINO DE OLIVEIRA</v>
      </c>
      <c r="D255" s="5" t="str">
        <f>Transferencia!D255</f>
        <v>bruno@simservices.com.br</v>
      </c>
      <c r="E255" s="5" t="str">
        <f>Transferencia!G255</f>
        <v>5571993824387</v>
      </c>
      <c r="F255" s="5" t="str">
        <f>Transferencia!H255</f>
        <v xml:space="preserve">e-CNPJ A1 - PME </v>
      </c>
      <c r="G255" s="6" t="str">
        <f>Transferencia!J255</f>
        <v>PONTO DE ATENDIMENTO AR CERTIFAST - ANDROMEDA/SP</v>
      </c>
      <c r="H255" s="4" t="str">
        <f>VLOOKUP(G255,Página1!G:L,6,0)</f>
        <v>Rogério</v>
      </c>
      <c r="I255" s="4" t="s">
        <v>16</v>
      </c>
      <c r="J255" s="5" t="str">
        <f>Transferencia!L255</f>
        <v>199.113.748-66</v>
      </c>
      <c r="K255" s="5" t="str">
        <f>Transferencia!M255</f>
        <v>52.102.447/0001-75</v>
      </c>
      <c r="L255" s="5" t="s">
        <v>220</v>
      </c>
    </row>
    <row r="256" spans="1:12" ht="15.75" customHeight="1">
      <c r="A256" s="5" t="str">
        <f>Transferencia!A256</f>
        <v>23078405</v>
      </c>
      <c r="B256" s="5" t="str">
        <f>Transferencia!B256</f>
        <v>18/02/2025</v>
      </c>
      <c r="C256" s="5" t="str">
        <f>Transferencia!C256</f>
        <v>MARCOS DE MORAES</v>
      </c>
      <c r="D256" s="5" t="str">
        <f>Transferencia!D256</f>
        <v>mavilinborges@gmail.com</v>
      </c>
      <c r="E256" s="5" t="str">
        <f>Transferencia!G256</f>
        <v>5512981732227</v>
      </c>
      <c r="F256" s="5" t="str">
        <f>Transferencia!H256</f>
        <v xml:space="preserve">e-CNPJ A1 - PME </v>
      </c>
      <c r="G256" s="6" t="str">
        <f>Transferencia!J256</f>
        <v>PONTO DE ATENDIMENTO AR CERTIFAST - ANDROMEDA/SP</v>
      </c>
      <c r="H256" s="4" t="str">
        <f>VLOOKUP(G256,Página1!G:L,6,0)</f>
        <v>Rogério</v>
      </c>
      <c r="I256" s="4" t="s">
        <v>16</v>
      </c>
      <c r="J256" s="5" t="str">
        <f>Transferencia!L256</f>
        <v>272.530.228-58</v>
      </c>
      <c r="K256" s="5" t="str">
        <f>Transferencia!M256</f>
        <v>07.640.688/0001-13</v>
      </c>
      <c r="L256" s="5" t="s">
        <v>221</v>
      </c>
    </row>
    <row r="257" spans="1:12" ht="15.75" customHeight="1">
      <c r="A257" s="5" t="str">
        <f>Transferencia!A257</f>
        <v>23079553</v>
      </c>
      <c r="B257" s="5" t="str">
        <f>Transferencia!B257</f>
        <v>18/02/2025</v>
      </c>
      <c r="C257" s="5" t="str">
        <f>Transferencia!C257</f>
        <v>FELIPE DOUGLAS GONCALVES</v>
      </c>
      <c r="D257" s="5" t="str">
        <f>Transferencia!D257</f>
        <v>fdgoncalvez@gmail.com</v>
      </c>
      <c r="E257" s="5" t="str">
        <f>Transferencia!G257</f>
        <v>5512996196272</v>
      </c>
      <c r="F257" s="5" t="str">
        <f>Transferencia!H257</f>
        <v xml:space="preserve">e-CNPJ A1 - 1 ano </v>
      </c>
      <c r="G257" s="6" t="str">
        <f>Transferencia!J257</f>
        <v>PONTO DE ATENDIMENTO AR CERTIFAST - ANDROMEDA/SP</v>
      </c>
      <c r="H257" s="4" t="str">
        <f>VLOOKUP(G257,Página1!G:L,6,0)</f>
        <v>Rogério</v>
      </c>
      <c r="I257" s="4" t="s">
        <v>16</v>
      </c>
      <c r="J257" s="5" t="str">
        <f>Transferencia!L257</f>
        <v>398.620.348-66</v>
      </c>
      <c r="K257" s="5" t="str">
        <f>Transferencia!M257</f>
        <v>34.746.785/0001-68</v>
      </c>
      <c r="L257" s="5"/>
    </row>
    <row r="258" spans="1:12" ht="15.75" customHeight="1">
      <c r="A258" s="5" t="str">
        <f>Transferencia!A258</f>
        <v>23080010</v>
      </c>
      <c r="B258" s="5" t="str">
        <f>Transferencia!B258</f>
        <v>18/02/2025</v>
      </c>
      <c r="C258" s="5" t="str">
        <f>Transferencia!C258</f>
        <v>EDUARDO DE SOUZA</v>
      </c>
      <c r="D258" s="5" t="str">
        <f>Transferencia!D258</f>
        <v>coord.societario@reluzcontabil.com.br</v>
      </c>
      <c r="E258" s="5" t="str">
        <f>Transferencia!G258</f>
        <v>5511940818409</v>
      </c>
      <c r="F258" s="5" t="str">
        <f>Transferencia!H258</f>
        <v xml:space="preserve">e-CPF A1 - 1 ano </v>
      </c>
      <c r="G258" s="6" t="str">
        <f>Transferencia!J258</f>
        <v>Ponto de Atendimento AR Certifast - Maua Centro/SP</v>
      </c>
      <c r="H258" s="4" t="str">
        <f>VLOOKUP(G258,Página1!G:L,6,0)</f>
        <v>Ingrid</v>
      </c>
      <c r="I258" s="4" t="s">
        <v>16</v>
      </c>
      <c r="J258" s="5" t="str">
        <f>Transferencia!L258</f>
        <v>128.439.608-86</v>
      </c>
      <c r="K258" s="5" t="str">
        <f>Transferencia!M258</f>
        <v/>
      </c>
      <c r="L258" s="5" t="s">
        <v>222</v>
      </c>
    </row>
    <row r="259" spans="1:12" ht="15.75" customHeight="1">
      <c r="A259" s="5" t="str">
        <f>Transferencia!A259</f>
        <v>23083956</v>
      </c>
      <c r="B259" s="5" t="str">
        <f>Transferencia!B259</f>
        <v>18/02/2025</v>
      </c>
      <c r="C259" s="5" t="str">
        <f>Transferencia!C259</f>
        <v>MARGARETE DE LURDES MERLO DANTAS</v>
      </c>
      <c r="D259" s="5" t="str">
        <f>Transferencia!D259</f>
        <v>marcusvmdantas@gmail.com</v>
      </c>
      <c r="E259" s="5" t="str">
        <f>Transferencia!G259</f>
        <v>5531997905737</v>
      </c>
      <c r="F259" s="5" t="str">
        <f>Transferencia!H259</f>
        <v xml:space="preserve">e-CPF A1 - 1 ano </v>
      </c>
      <c r="G259" s="6" t="str">
        <f>Transferencia!J259</f>
        <v>Ponto de Atendimento AR Certifast - Prado BH/MG</v>
      </c>
      <c r="H259" s="4" t="str">
        <f>VLOOKUP(G259,Página1!G:L,6,0)</f>
        <v>Isabella</v>
      </c>
      <c r="I259" s="4" t="s">
        <v>16</v>
      </c>
      <c r="J259" s="5" t="str">
        <f>Transferencia!L259</f>
        <v>501.065.546-20</v>
      </c>
      <c r="K259" s="5" t="str">
        <f>Transferencia!M259</f>
        <v/>
      </c>
      <c r="L259" s="5" t="s">
        <v>223</v>
      </c>
    </row>
    <row r="260" spans="1:12" ht="15.75" customHeight="1">
      <c r="A260" s="5" t="str">
        <f>Transferencia!A260</f>
        <v>23083980</v>
      </c>
      <c r="B260" s="5" t="str">
        <f>Transferencia!B260</f>
        <v>18/02/2025</v>
      </c>
      <c r="C260" s="5" t="str">
        <f>Transferencia!C260</f>
        <v>MARCUS VINICIUS MERLO DANTAS</v>
      </c>
      <c r="D260" s="5" t="str">
        <f>Transferencia!D260</f>
        <v>marcusvmdantas@gmail.com</v>
      </c>
      <c r="E260" s="5" t="str">
        <f>Transferencia!G260</f>
        <v>5531997905737</v>
      </c>
      <c r="F260" s="5" t="str">
        <f>Transferencia!H260</f>
        <v xml:space="preserve">e-CPF A1 - 1 ano </v>
      </c>
      <c r="G260" s="6" t="str">
        <f>Transferencia!J260</f>
        <v>Ponto de Atendimento AR Certifast - Prado BH/MG</v>
      </c>
      <c r="H260" s="4" t="str">
        <f>VLOOKUP(G260,Página1!G:L,6,0)</f>
        <v>Isabella</v>
      </c>
      <c r="I260" s="4" t="s">
        <v>16</v>
      </c>
      <c r="J260" s="5" t="str">
        <f>Transferencia!L260</f>
        <v>091.229.066-81</v>
      </c>
      <c r="K260" s="5" t="str">
        <f>Transferencia!M260</f>
        <v/>
      </c>
      <c r="L260" s="5" t="s">
        <v>224</v>
      </c>
    </row>
    <row r="261" spans="1:12" ht="15.75" customHeight="1">
      <c r="A261" s="5" t="str">
        <f>Transferencia!A261</f>
        <v>23084020</v>
      </c>
      <c r="B261" s="5" t="str">
        <f>Transferencia!B261</f>
        <v>18/02/2025</v>
      </c>
      <c r="C261" s="5" t="str">
        <f>Transferencia!C261</f>
        <v>MARIANA MERLO DANTAS</v>
      </c>
      <c r="D261" s="5" t="str">
        <f>Transferencia!D261</f>
        <v>marcusvmdantas@gmail.com</v>
      </c>
      <c r="E261" s="5" t="str">
        <f>Transferencia!G261</f>
        <v>5531997905737</v>
      </c>
      <c r="F261" s="5" t="str">
        <f>Transferencia!H261</f>
        <v xml:space="preserve">e-CPF A1 - 1 ano </v>
      </c>
      <c r="G261" s="6" t="str">
        <f>Transferencia!J261</f>
        <v>Ponto de Atendimento AR Certifast - Prado BH/MG</v>
      </c>
      <c r="H261" s="4" t="str">
        <f>VLOOKUP(G261,Página1!G:L,6,0)</f>
        <v>Isabella</v>
      </c>
      <c r="I261" s="4" t="s">
        <v>16</v>
      </c>
      <c r="J261" s="5" t="str">
        <f>Transferencia!L261</f>
        <v>074.589.966-84</v>
      </c>
      <c r="K261" s="5" t="str">
        <f>Transferencia!M261</f>
        <v/>
      </c>
      <c r="L261" s="5" t="s">
        <v>140</v>
      </c>
    </row>
    <row r="262" spans="1:12" ht="15.75" customHeight="1">
      <c r="A262" s="5" t="str">
        <f>Transferencia!A262</f>
        <v>23085383</v>
      </c>
      <c r="B262" s="5" t="str">
        <f>Transferencia!B262</f>
        <v>18/02/2025</v>
      </c>
      <c r="C262" s="5" t="str">
        <f>Transferencia!C262</f>
        <v>DANILO BULLA RODRIGUES RAMOS</v>
      </c>
      <c r="D262" s="5" t="str">
        <f>Transferencia!D262</f>
        <v>fiscal@grupoledani.com.br</v>
      </c>
      <c r="E262" s="5" t="str">
        <f>Transferencia!G262</f>
        <v>55</v>
      </c>
      <c r="F262" s="5" t="str">
        <f>Transferencia!H262</f>
        <v xml:space="preserve">e-CNPJ A1 - 1 ano </v>
      </c>
      <c r="G262" s="6" t="str">
        <f>Transferencia!J262</f>
        <v>Ponto de Atendimento AR Certifast - Maua Centro/SP</v>
      </c>
      <c r="H262" s="4" t="str">
        <f>VLOOKUP(G262,Página1!G:L,6,0)</f>
        <v>Ingrid</v>
      </c>
      <c r="I262" s="4" t="s">
        <v>16</v>
      </c>
      <c r="J262" s="5" t="str">
        <f>Transferencia!L262</f>
        <v>324.068.558-21</v>
      </c>
      <c r="K262" s="5" t="str">
        <f>Transferencia!M262</f>
        <v>18.431.348/0001-07</v>
      </c>
      <c r="L262" s="5" t="s">
        <v>225</v>
      </c>
    </row>
    <row r="263" spans="1:12" ht="15.75" customHeight="1">
      <c r="A263" s="5" t="str">
        <f>Transferencia!A263</f>
        <v>23088299</v>
      </c>
      <c r="B263" s="5" t="str">
        <f>Transferencia!B263</f>
        <v>18/02/2025</v>
      </c>
      <c r="C263" s="5" t="str">
        <f>Transferencia!C263</f>
        <v>ROSEMARY CARDOSO DE ANDRADE</v>
      </c>
      <c r="D263" s="5" t="str">
        <f>Transferencia!D263</f>
        <v>rocandra.sp@gmail.com</v>
      </c>
      <c r="E263" s="5" t="str">
        <f>Transferencia!G263</f>
        <v>5512982332670</v>
      </c>
      <c r="F263" s="5" t="str">
        <f>Transferencia!H263</f>
        <v xml:space="preserve">e-CPF A1 - 1 ano </v>
      </c>
      <c r="G263" s="6" t="str">
        <f>Transferencia!J263</f>
        <v>PONTO DE ATENDIMENTO AR CERTIFAST - ANDROMEDA/SP</v>
      </c>
      <c r="H263" s="4" t="str">
        <f>VLOOKUP(G263,Página1!G:L,6,0)</f>
        <v>Rogério</v>
      </c>
      <c r="I263" s="4" t="s">
        <v>16</v>
      </c>
      <c r="J263" s="5" t="str">
        <f>Transferencia!L263</f>
        <v>272.985.234-49</v>
      </c>
      <c r="K263" s="5" t="str">
        <f>Transferencia!M263</f>
        <v/>
      </c>
      <c r="L263" s="5" t="s">
        <v>226</v>
      </c>
    </row>
    <row r="264" spans="1:12" ht="15.75" customHeight="1">
      <c r="A264" s="5" t="str">
        <f>Transferencia!A264</f>
        <v>23088468</v>
      </c>
      <c r="B264" s="5" t="str">
        <f>Transferencia!B264</f>
        <v>18/02/2025</v>
      </c>
      <c r="C264" s="5" t="str">
        <f>Transferencia!C264</f>
        <v>EDUARDO PAULO RAMOS COSTA</v>
      </c>
      <c r="D264" s="5" t="str">
        <f>Transferencia!D264</f>
        <v>eprc1984@gmail.com</v>
      </c>
      <c r="E264" s="5" t="str">
        <f>Transferencia!G264</f>
        <v>5511947804023</v>
      </c>
      <c r="F264" s="5" t="str">
        <f>Transferencia!H264</f>
        <v xml:space="preserve">e-CNPJ A1 - 1 ano </v>
      </c>
      <c r="G264" s="6" t="str">
        <f>Transferencia!J264</f>
        <v>Ponto de Atendimento AR Certifast - Maua Centro/SP</v>
      </c>
      <c r="H264" s="4" t="str">
        <f>VLOOKUP(G264,Página1!G:L,6,0)</f>
        <v>Ingrid</v>
      </c>
      <c r="I264" s="4" t="s">
        <v>16</v>
      </c>
      <c r="J264" s="5" t="str">
        <f>Transferencia!L264</f>
        <v>341.079.298-84</v>
      </c>
      <c r="K264" s="5" t="str">
        <f>Transferencia!M264</f>
        <v>15.402.502/0001-16</v>
      </c>
      <c r="L264" s="5" t="s">
        <v>228</v>
      </c>
    </row>
    <row r="265" spans="1:12" ht="15.75" customHeight="1">
      <c r="A265" s="5" t="str">
        <f>Transferencia!A265</f>
        <v>19974027</v>
      </c>
      <c r="B265" s="5" t="str">
        <f>Transferencia!B265</f>
        <v>19/02/2025</v>
      </c>
      <c r="C265" s="5" t="str">
        <f>Transferencia!C265</f>
        <v>FRANCISCO GOMES MILAGRES</v>
      </c>
      <c r="D265" s="5" t="str">
        <f>Transferencia!D265</f>
        <v>FRANCISCO@MIRACH.COM</v>
      </c>
      <c r="E265" s="5" t="str">
        <f>Transferencia!G265</f>
        <v>5551999858284</v>
      </c>
      <c r="F265" s="5" t="str">
        <f>Transferencia!H265</f>
        <v xml:space="preserve">e-CPF A3 - 3 anos </v>
      </c>
      <c r="G265" s="6" t="str">
        <f>Transferencia!J265</f>
        <v>AR Certifast</v>
      </c>
      <c r="H265" s="4" t="str">
        <f>VLOOKUP(G265,Página1!G:L,6,0)</f>
        <v>Alexandre</v>
      </c>
      <c r="I265" s="4" t="s">
        <v>16</v>
      </c>
      <c r="J265" s="5" t="str">
        <f>Transferencia!L265</f>
        <v>075.766.027-40</v>
      </c>
      <c r="K265" s="5" t="str">
        <f>Transferencia!M265</f>
        <v/>
      </c>
      <c r="L265" s="5" t="s">
        <v>229</v>
      </c>
    </row>
    <row r="266" spans="1:12" ht="15.75" customHeight="1">
      <c r="A266" s="5" t="str">
        <f>Transferencia!A266</f>
        <v>20068795</v>
      </c>
      <c r="B266" s="5" t="str">
        <f>Transferencia!B266</f>
        <v>19/02/2025</v>
      </c>
      <c r="C266" s="5" t="str">
        <f>Transferencia!C266</f>
        <v>RENATO KOCH</v>
      </c>
      <c r="D266" s="5" t="str">
        <f>Transferencia!D266</f>
        <v>RENATOENGSISTEMA@GMAIL.COM</v>
      </c>
      <c r="E266" s="5" t="str">
        <f>Transferencia!G266</f>
        <v>5511981042054</v>
      </c>
      <c r="F266" s="5" t="str">
        <f>Transferencia!H266</f>
        <v xml:space="preserve">e-CPF A3 - 3 anos </v>
      </c>
      <c r="G266" s="6" t="str">
        <f>Transferencia!J266</f>
        <v>PONTO DE ATENDIMENTO AR CERTIFAST - ANDROMEDA/SP</v>
      </c>
      <c r="H266" s="4" t="str">
        <f>VLOOKUP(G266,Página1!G:L,6,0)</f>
        <v>Rogério</v>
      </c>
      <c r="I266" s="4" t="s">
        <v>16</v>
      </c>
      <c r="J266" s="5" t="str">
        <f>Transferencia!L266</f>
        <v>100.743.348-59</v>
      </c>
      <c r="K266" s="5" t="str">
        <f>Transferencia!M266</f>
        <v/>
      </c>
      <c r="L266" s="5"/>
    </row>
    <row r="267" spans="1:12" ht="15.75" customHeight="1">
      <c r="A267" s="5" t="str">
        <f>Transferencia!A267</f>
        <v>20068796</v>
      </c>
      <c r="B267" s="5" t="str">
        <f>Transferencia!B267</f>
        <v>19/02/2025</v>
      </c>
      <c r="C267" s="5" t="str">
        <f>Transferencia!C267</f>
        <v>RENATO KOCH</v>
      </c>
      <c r="D267" s="5" t="str">
        <f>Transferencia!D267</f>
        <v>RENATOENGSISTEMA@GMAIL.COM</v>
      </c>
      <c r="E267" s="5" t="str">
        <f>Transferencia!G267</f>
        <v>5511981042054</v>
      </c>
      <c r="F267" s="5" t="str">
        <f>Transferencia!H267</f>
        <v xml:space="preserve">e-CNPJ A3 - 3 anos </v>
      </c>
      <c r="G267" s="6" t="str">
        <f>Transferencia!J267</f>
        <v>PONTO DE ATENDIMENTO AR CERTIFAST - ANDROMEDA/SP</v>
      </c>
      <c r="H267" s="4" t="str">
        <f>VLOOKUP(G267,Página1!G:L,6,0)</f>
        <v>Rogério</v>
      </c>
      <c r="I267" s="4" t="s">
        <v>16</v>
      </c>
      <c r="J267" s="5" t="str">
        <f>Transferencia!L267</f>
        <v>100.743.348-59</v>
      </c>
      <c r="K267" s="5" t="str">
        <f>Transferencia!M267</f>
        <v>10.763.245/0001-24</v>
      </c>
      <c r="L267" s="5" t="s">
        <v>230</v>
      </c>
    </row>
    <row r="268" spans="1:12" ht="15.75" customHeight="1">
      <c r="A268" s="5" t="str">
        <f>Transferencia!A268</f>
        <v>22363965</v>
      </c>
      <c r="B268" s="5" t="str">
        <f>Transferencia!B268</f>
        <v>19/02/2025</v>
      </c>
      <c r="C268" s="5" t="str">
        <f>Transferencia!C268</f>
        <v>ANDERSON OLIVEIRA DOS SANTOS</v>
      </c>
      <c r="D268" s="5" t="str">
        <f>Transferencia!D268</f>
        <v>contabilcaroto@gmail.com</v>
      </c>
      <c r="E268" s="5" t="str">
        <f>Transferencia!G268</f>
        <v>55</v>
      </c>
      <c r="F268" s="5" t="str">
        <f>Transferencia!H268</f>
        <v xml:space="preserve">e-CNPJ A3 - PME - 18 meses </v>
      </c>
      <c r="G268" s="6" t="str">
        <f>Transferencia!J268</f>
        <v>Ponto de Atendimento AR Certifast - Maua Centro/SP</v>
      </c>
      <c r="H268" s="4" t="str">
        <f>VLOOKUP(G268,Página1!G:L,6,0)</f>
        <v>Ingrid</v>
      </c>
      <c r="I268" s="4" t="s">
        <v>16</v>
      </c>
      <c r="J268" s="5" t="str">
        <f>Transferencia!L268</f>
        <v>220.132.168-07</v>
      </c>
      <c r="K268" s="5" t="str">
        <f>Transferencia!M268</f>
        <v>44.932.158/0001-75</v>
      </c>
      <c r="L268" s="5" t="s">
        <v>231</v>
      </c>
    </row>
    <row r="269" spans="1:12" ht="15.75" customHeight="1">
      <c r="A269" s="5" t="str">
        <f>Transferencia!A269</f>
        <v>22382605</v>
      </c>
      <c r="B269" s="5" t="str">
        <f>Transferencia!B269</f>
        <v>19/02/2025</v>
      </c>
      <c r="C269" s="5" t="str">
        <f>Transferencia!C269</f>
        <v>CLEBERSON ALVES DOS SANTOS</v>
      </c>
      <c r="D269" s="5" t="str">
        <f>Transferencia!D269</f>
        <v>contabilcaroto@gmail.com</v>
      </c>
      <c r="E269" s="5" t="str">
        <f>Transferencia!G269</f>
        <v>55</v>
      </c>
      <c r="F269" s="5" t="str">
        <f>Transferencia!H269</f>
        <v xml:space="preserve">e-CNPJ A3 - PME - 18 meses </v>
      </c>
      <c r="G269" s="6" t="str">
        <f>Transferencia!J269</f>
        <v>Ponto de Atendimento AR Certifast - Maua Centro/SP</v>
      </c>
      <c r="H269" s="4" t="str">
        <f>VLOOKUP(G269,Página1!G:L,6,0)</f>
        <v>Ingrid</v>
      </c>
      <c r="I269" s="4" t="s">
        <v>16</v>
      </c>
      <c r="J269" s="5" t="str">
        <f>Transferencia!L269</f>
        <v>288.619.798-07</v>
      </c>
      <c r="K269" s="5" t="str">
        <f>Transferencia!M269</f>
        <v>46.743.775/0001-58</v>
      </c>
      <c r="L269" s="5" t="s">
        <v>232</v>
      </c>
    </row>
    <row r="270" spans="1:12" ht="15.75" customHeight="1">
      <c r="A270" s="5" t="str">
        <f>Transferencia!A270</f>
        <v>22996196</v>
      </c>
      <c r="B270" s="5" t="str">
        <f>Transferencia!B270</f>
        <v>19/02/2025</v>
      </c>
      <c r="C270" s="5" t="str">
        <f>Transferencia!C270</f>
        <v>MAURICIO FERRAO PEREIRA BORGES</v>
      </c>
      <c r="D270" s="5" t="str">
        <f>Transferencia!D270</f>
        <v>ferrao@mfpb.com.br</v>
      </c>
      <c r="E270" s="5" t="str">
        <f>Transferencia!G270</f>
        <v>5551984878777</v>
      </c>
      <c r="F270" s="5" t="str">
        <f>Transferencia!H270</f>
        <v xml:space="preserve">e-CNPJ A1 - PME </v>
      </c>
      <c r="G270" s="6" t="str">
        <f>Transferencia!J270</f>
        <v>PONTO DE ATENDIMENTO AR CERTIFAST - ANDROMEDA/SP</v>
      </c>
      <c r="H270" s="4" t="str">
        <f>VLOOKUP(G270,Página1!G:L,6,0)</f>
        <v>Rogério</v>
      </c>
      <c r="I270" s="4" t="s">
        <v>16</v>
      </c>
      <c r="J270" s="5" t="str">
        <f>Transferencia!L270</f>
        <v>940.672.100-78</v>
      </c>
      <c r="K270" s="5" t="str">
        <f>Transferencia!M270</f>
        <v>45.006.109/0001-74</v>
      </c>
      <c r="L270" s="5" t="s">
        <v>233</v>
      </c>
    </row>
    <row r="271" spans="1:12" ht="15.75" customHeight="1">
      <c r="A271" s="5" t="str">
        <f>Transferencia!A271</f>
        <v>23059350</v>
      </c>
      <c r="B271" s="5" t="str">
        <f>Transferencia!B271</f>
        <v>19/02/2025</v>
      </c>
      <c r="C271" s="5" t="str">
        <f>Transferencia!C271</f>
        <v>RENATA DE MORAIS GONCALVES</v>
      </c>
      <c r="D271" s="5" t="str">
        <f>Transferencia!D271</f>
        <v>conectcell.acessorios@outlook.com</v>
      </c>
      <c r="E271" s="5" t="str">
        <f>Transferencia!G271</f>
        <v>5512982486983</v>
      </c>
      <c r="F271" s="5" t="str">
        <f>Transferencia!H271</f>
        <v xml:space="preserve">e-CNPJ A1 - 1 ano </v>
      </c>
      <c r="G271" s="6" t="str">
        <f>Transferencia!J271</f>
        <v>PONTO DE ATENDIMENTO AR CERTIFAST - ANDROMEDA/SP</v>
      </c>
      <c r="H271" s="4" t="str">
        <f>VLOOKUP(G271,Página1!G:L,6,0)</f>
        <v>Rogério</v>
      </c>
      <c r="I271" s="4" t="s">
        <v>16</v>
      </c>
      <c r="J271" s="5" t="str">
        <f>Transferencia!L271</f>
        <v>410.941.348-64</v>
      </c>
      <c r="K271" s="5" t="str">
        <f>Transferencia!M271</f>
        <v>52.481.309/0001-44</v>
      </c>
      <c r="L271" s="5" t="s">
        <v>234</v>
      </c>
    </row>
    <row r="272" spans="1:12" ht="15.75" customHeight="1">
      <c r="A272" s="5" t="str">
        <f>Transferencia!A272</f>
        <v>23059905</v>
      </c>
      <c r="B272" s="5" t="str">
        <f>Transferencia!B272</f>
        <v>19/02/2025</v>
      </c>
      <c r="C272" s="5" t="str">
        <f>Transferencia!C272</f>
        <v>LEONARDO TABOADA SILVA</v>
      </c>
      <c r="D272" s="5" t="str">
        <f>Transferencia!D272</f>
        <v>leonardo_taboada@outlook.com</v>
      </c>
      <c r="E272" s="5" t="str">
        <f>Transferencia!G272</f>
        <v>5511982417151</v>
      </c>
      <c r="F272" s="5" t="str">
        <f>Transferencia!H272</f>
        <v xml:space="preserve">e-CNPJ A1 - 1 ano </v>
      </c>
      <c r="G272" s="6" t="str">
        <f>Transferencia!J272</f>
        <v>Ponto de Atendimento AR Certifast - Maua Centro/SP</v>
      </c>
      <c r="H272" s="4" t="str">
        <f>VLOOKUP(G272,Página1!G:L,6,0)</f>
        <v>Ingrid</v>
      </c>
      <c r="I272" s="4" t="s">
        <v>16</v>
      </c>
      <c r="J272" s="5" t="str">
        <f>Transferencia!L272</f>
        <v>429.301.278-80</v>
      </c>
      <c r="K272" s="5" t="str">
        <f>Transferencia!M272</f>
        <v>40.122.008/0001-45</v>
      </c>
      <c r="L272" s="5" t="s">
        <v>235</v>
      </c>
    </row>
    <row r="273" spans="1:12" ht="15.75" customHeight="1">
      <c r="A273" s="5" t="str">
        <f>Transferencia!A273</f>
        <v>23071679</v>
      </c>
      <c r="B273" s="5" t="str">
        <f>Transferencia!B273</f>
        <v>19/02/2025</v>
      </c>
      <c r="C273" s="5" t="str">
        <f>Transferencia!C273</f>
        <v>VITOR CANTO BUCHALA</v>
      </c>
      <c r="D273" s="5" t="str">
        <f>Transferencia!D273</f>
        <v>jh.contabilidade@hotmail.com</v>
      </c>
      <c r="E273" s="5" t="str">
        <f>Transferencia!G273</f>
        <v>5511992755552</v>
      </c>
      <c r="F273" s="5" t="str">
        <f>Transferencia!H273</f>
        <v xml:space="preserve">e-CNPJ A1 - PME </v>
      </c>
      <c r="G273" s="6" t="str">
        <f>Transferencia!J273</f>
        <v>PONTO DE ATENDIMENTO AR CERTIFAST - ANDROMEDA/SP</v>
      </c>
      <c r="H273" s="4" t="str">
        <f>VLOOKUP(G273,Página1!G:L,6,0)</f>
        <v>Rogério</v>
      </c>
      <c r="I273" s="4" t="s">
        <v>16</v>
      </c>
      <c r="J273" s="5" t="str">
        <f>Transferencia!L273</f>
        <v>441.782.668-45</v>
      </c>
      <c r="K273" s="5" t="str">
        <f>Transferencia!M273</f>
        <v>24.763.942/0001-90</v>
      </c>
      <c r="L273" s="5"/>
    </row>
    <row r="274" spans="1:12" ht="15.75" customHeight="1">
      <c r="A274" s="5" t="str">
        <f>Transferencia!A274</f>
        <v>23075428</v>
      </c>
      <c r="B274" s="5" t="str">
        <f>Transferencia!B274</f>
        <v>19/02/2025</v>
      </c>
      <c r="C274" s="5" t="str">
        <f>Transferencia!C274</f>
        <v>GIVANILDO GERALDO DA SILVA</v>
      </c>
      <c r="D274" s="5" t="str">
        <f>Transferencia!D274</f>
        <v>girlbbear@hotmail.com</v>
      </c>
      <c r="E274" s="5" t="str">
        <f>Transferencia!G274</f>
        <v>55</v>
      </c>
      <c r="F274" s="5" t="str">
        <f>Transferencia!H274</f>
        <v xml:space="preserve">e-CNPJ A1 - PME </v>
      </c>
      <c r="G274" s="6" t="str">
        <f>Transferencia!J274</f>
        <v>Ponto de Atendimento AR Certifast - Maua Centro/SP</v>
      </c>
      <c r="H274" s="4" t="str">
        <f>VLOOKUP(G274,Página1!G:L,6,0)</f>
        <v>Ingrid</v>
      </c>
      <c r="I274" s="4" t="s">
        <v>16</v>
      </c>
      <c r="J274" s="5" t="str">
        <f>Transferencia!L274</f>
        <v>131.419.158-65</v>
      </c>
      <c r="K274" s="5" t="str">
        <f>Transferencia!M274</f>
        <v>16.629.235/0001-87</v>
      </c>
      <c r="L274" s="5" t="s">
        <v>236</v>
      </c>
    </row>
    <row r="275" spans="1:12" ht="15.75" customHeight="1">
      <c r="A275" s="5" t="str">
        <f>Transferencia!A275</f>
        <v>23078689</v>
      </c>
      <c r="B275" s="5" t="str">
        <f>Transferencia!B275</f>
        <v>19/02/2025</v>
      </c>
      <c r="C275" s="5" t="str">
        <f>Transferencia!C275</f>
        <v>MARCOS ASSIS DUARTE</v>
      </c>
      <c r="D275" s="5" t="str">
        <f>Transferencia!D275</f>
        <v>adm.madatacadista@gmail.com</v>
      </c>
      <c r="E275" s="5" t="str">
        <f>Transferencia!G275</f>
        <v>5531986413469</v>
      </c>
      <c r="F275" s="5" t="str">
        <f>Transferencia!H275</f>
        <v xml:space="preserve">e-CNPJ A1 - PME </v>
      </c>
      <c r="G275" s="6" t="str">
        <f>Transferencia!J275</f>
        <v>Ponto de Atendimento AR Certifast - Prado BH/MG</v>
      </c>
      <c r="H275" s="4" t="str">
        <f>VLOOKUP(G275,Página1!G:L,6,0)</f>
        <v>Isabella</v>
      </c>
      <c r="I275" s="4" t="s">
        <v>16</v>
      </c>
      <c r="J275" s="5" t="str">
        <f>Transferencia!L275</f>
        <v>615.989.176-68</v>
      </c>
      <c r="K275" s="5" t="str">
        <f>Transferencia!M275</f>
        <v>52.660.219/0001-10</v>
      </c>
      <c r="L275" s="5"/>
    </row>
    <row r="276" spans="1:12" ht="15.75" customHeight="1">
      <c r="A276" s="5" t="str">
        <f>Transferencia!A276</f>
        <v>23083025</v>
      </c>
      <c r="B276" s="5" t="str">
        <f>Transferencia!B276</f>
        <v>19/02/2025</v>
      </c>
      <c r="C276" s="5" t="str">
        <f>Transferencia!C276</f>
        <v>LUZIO MARIO MENDES GOMES</v>
      </c>
      <c r="D276" s="5" t="str">
        <f>Transferencia!D276</f>
        <v>suporth.cont@gmail.com</v>
      </c>
      <c r="E276" s="5" t="str">
        <f>Transferencia!G276</f>
        <v>5511998351405</v>
      </c>
      <c r="F276" s="5" t="str">
        <f>Transferencia!H276</f>
        <v xml:space="preserve">e-CNPJ A1 - 1 ano </v>
      </c>
      <c r="G276" s="6" t="str">
        <f>Transferencia!J276</f>
        <v>PONTO DE ATENDIMENTO AR CERTIFAST - ANDROMEDA/SP</v>
      </c>
      <c r="H276" s="4" t="str">
        <f>VLOOKUP(G276,Página1!G:L,6,0)</f>
        <v>Rogério</v>
      </c>
      <c r="I276" s="4" t="s">
        <v>16</v>
      </c>
      <c r="J276" s="5" t="str">
        <f>Transferencia!L276</f>
        <v>971.989.005-34</v>
      </c>
      <c r="K276" s="5" t="str">
        <f>Transferencia!M276</f>
        <v>53.074.502/0001-23</v>
      </c>
      <c r="L276" s="5"/>
    </row>
    <row r="277" spans="1:12" ht="15.75" customHeight="1">
      <c r="A277" s="5" t="str">
        <f>Transferencia!A277</f>
        <v>23083428</v>
      </c>
      <c r="B277" s="5" t="str">
        <f>Transferencia!B277</f>
        <v>19/02/2025</v>
      </c>
      <c r="C277" s="5" t="str">
        <f>Transferencia!C277</f>
        <v>WANDERLEY LIMA DA SILVA</v>
      </c>
      <c r="D277" s="5" t="str">
        <f>Transferencia!D277</f>
        <v>wanderley.lima@gmail.com</v>
      </c>
      <c r="E277" s="5" t="str">
        <f>Transferencia!G277</f>
        <v>5512981695901</v>
      </c>
      <c r="F277" s="5" t="str">
        <f>Transferencia!H277</f>
        <v xml:space="preserve">e-CNPJ A1 - 1 ano </v>
      </c>
      <c r="G277" s="6" t="str">
        <f>Transferencia!J277</f>
        <v>PONTO DE ATENDIMENTO AR CERTIFAST - ANDROMEDA/SP</v>
      </c>
      <c r="H277" s="4" t="str">
        <f>VLOOKUP(G277,Página1!G:L,6,0)</f>
        <v>Rogério</v>
      </c>
      <c r="I277" s="4" t="s">
        <v>16</v>
      </c>
      <c r="J277" s="5" t="str">
        <f>Transferencia!L277</f>
        <v>282.916.538-10</v>
      </c>
      <c r="K277" s="5" t="str">
        <f>Transferencia!M277</f>
        <v>48.168.252/0001-50</v>
      </c>
      <c r="L277" s="5" t="s">
        <v>237</v>
      </c>
    </row>
    <row r="278" spans="1:12" ht="15.75" customHeight="1">
      <c r="A278" s="5" t="str">
        <f>Transferencia!A278</f>
        <v>23083472</v>
      </c>
      <c r="B278" s="5" t="str">
        <f>Transferencia!B278</f>
        <v>19/02/2025</v>
      </c>
      <c r="C278" s="5" t="str">
        <f>Transferencia!C278</f>
        <v>GERSON SANTOLERI</v>
      </c>
      <c r="D278" s="5" t="str">
        <f>Transferencia!D278</f>
        <v>585assjur@gmail.com</v>
      </c>
      <c r="E278" s="5" t="str">
        <f>Transferencia!G278</f>
        <v>5512997209947</v>
      </c>
      <c r="F278" s="5" t="str">
        <f>Transferencia!H278</f>
        <v xml:space="preserve">e-CNPJ A1 - 1 ano </v>
      </c>
      <c r="G278" s="6" t="str">
        <f>Transferencia!J278</f>
        <v>PONTO DE ATENDIMENTO AR CERTIFAST - ANDROMEDA/SP</v>
      </c>
      <c r="H278" s="4" t="str">
        <f>VLOOKUP(G278,Página1!G:L,6,0)</f>
        <v>Rogério</v>
      </c>
      <c r="I278" s="4" t="s">
        <v>16</v>
      </c>
      <c r="J278" s="5" t="str">
        <f>Transferencia!L278</f>
        <v>383.195.439-91</v>
      </c>
      <c r="K278" s="5" t="str">
        <f>Transferencia!M278</f>
        <v>47.562.475/0001-35</v>
      </c>
      <c r="L278" s="5"/>
    </row>
    <row r="279" spans="1:12" ht="15.75" customHeight="1">
      <c r="A279" s="5" t="str">
        <f>Transferencia!A279</f>
        <v>23083473</v>
      </c>
      <c r="B279" s="5" t="str">
        <f>Transferencia!B279</f>
        <v>19/02/2025</v>
      </c>
      <c r="C279" s="5" t="str">
        <f>Transferencia!C279</f>
        <v>DANIEL DE MELO ROBI</v>
      </c>
      <c r="D279" s="5" t="str">
        <f>Transferencia!D279</f>
        <v>606assjur@gmail.com</v>
      </c>
      <c r="E279" s="5" t="str">
        <f>Transferencia!G279</f>
        <v>5511971926383</v>
      </c>
      <c r="F279" s="5" t="str">
        <f>Transferencia!H279</f>
        <v xml:space="preserve">e-CNPJ A1 - 1 ano </v>
      </c>
      <c r="G279" s="6" t="str">
        <f>Transferencia!J279</f>
        <v>PONTO DE ATENDIMENTO AR CERTIFAST - ANDROMEDA/SP</v>
      </c>
      <c r="H279" s="4" t="str">
        <f>VLOOKUP(G279,Página1!G:L,6,0)</f>
        <v>Rogério</v>
      </c>
      <c r="I279" s="4" t="s">
        <v>16</v>
      </c>
      <c r="J279" s="5" t="str">
        <f>Transferencia!L279</f>
        <v>355.569.958-00</v>
      </c>
      <c r="K279" s="5" t="str">
        <f>Transferencia!M279</f>
        <v>00.381.013/0001-58</v>
      </c>
      <c r="L279" s="5" t="s">
        <v>238</v>
      </c>
    </row>
    <row r="280" spans="1:12" ht="15.75" customHeight="1">
      <c r="A280" s="5" t="str">
        <f>Transferencia!A280</f>
        <v>23087624</v>
      </c>
      <c r="B280" s="5" t="str">
        <f>Transferencia!B280</f>
        <v>19/02/2025</v>
      </c>
      <c r="C280" s="5" t="str">
        <f>Transferencia!C280</f>
        <v>LUIZ FERNANDO RIBEIRO</v>
      </c>
      <c r="D280" s="5" t="str">
        <f>Transferencia!D280</f>
        <v>fernando.ribeiro@eletrorede.eng.br</v>
      </c>
      <c r="E280" s="5" t="str">
        <f>Transferencia!G280</f>
        <v>5512996524123</v>
      </c>
      <c r="F280" s="5" t="str">
        <f>Transferencia!H280</f>
        <v xml:space="preserve">e-CNPJ A1 - PME </v>
      </c>
      <c r="G280" s="6" t="str">
        <f>Transferencia!J280</f>
        <v>PONTO DE ATENDIMENTO AR CERTIFAST - ANDROMEDA/SP</v>
      </c>
      <c r="H280" s="4" t="str">
        <f>VLOOKUP(G280,Página1!G:L,6,0)</f>
        <v>Rogério</v>
      </c>
      <c r="I280" s="4" t="s">
        <v>16</v>
      </c>
      <c r="J280" s="5" t="str">
        <f>Transferencia!L280</f>
        <v>337.928.408-47</v>
      </c>
      <c r="K280" s="5" t="str">
        <f>Transferencia!M280</f>
        <v>15.320.022/0001-06</v>
      </c>
      <c r="L280" s="5" t="s">
        <v>240</v>
      </c>
    </row>
    <row r="281" spans="1:12" ht="15.75" customHeight="1">
      <c r="A281" s="5" t="str">
        <f>Transferencia!A281</f>
        <v>23089012</v>
      </c>
      <c r="B281" s="5" t="str">
        <f>Transferencia!B281</f>
        <v>19/02/2025</v>
      </c>
      <c r="C281" s="5" t="str">
        <f>Transferencia!C281</f>
        <v>RENATO MARRIEL</v>
      </c>
      <c r="D281" s="5" t="str">
        <f>Transferencia!D281</f>
        <v>luiza@alfabelt.com.br</v>
      </c>
      <c r="E281" s="5" t="str">
        <f>Transferencia!G281</f>
        <v>5531987886482</v>
      </c>
      <c r="F281" s="5" t="str">
        <f>Transferencia!H281</f>
        <v xml:space="preserve">e-CNPJ A1 - PME </v>
      </c>
      <c r="G281" s="6" t="str">
        <f>Transferencia!J281</f>
        <v>Ponto de Atendimento AR Certifast - Prado BH/MG</v>
      </c>
      <c r="H281" s="4" t="str">
        <f>VLOOKUP(G281,Página1!G:L,6,0)</f>
        <v>Isabella</v>
      </c>
      <c r="I281" s="4" t="s">
        <v>16</v>
      </c>
      <c r="J281" s="5" t="str">
        <f>Transferencia!L281</f>
        <v>730.700.846-72</v>
      </c>
      <c r="K281" s="5" t="str">
        <f>Transferencia!M281</f>
        <v>68.523.927/0001-40</v>
      </c>
      <c r="L281" s="5" t="s">
        <v>241</v>
      </c>
    </row>
    <row r="282" spans="1:12" ht="15.75" customHeight="1">
      <c r="A282" s="5" t="str">
        <f>Transferencia!A282</f>
        <v>23089449</v>
      </c>
      <c r="B282" s="5" t="str">
        <f>Transferencia!B282</f>
        <v>19/02/2025</v>
      </c>
      <c r="C282" s="5" t="str">
        <f>Transferencia!C282</f>
        <v>SERGIO MUNIZ RIOS FILHO</v>
      </c>
      <c r="D282" s="5" t="str">
        <f>Transferencia!D282</f>
        <v>juazeiro_ba@yahoo.com.br</v>
      </c>
      <c r="E282" s="5" t="str">
        <f>Transferencia!G282</f>
        <v>5574999619750</v>
      </c>
      <c r="F282" s="5" t="str">
        <f>Transferencia!H282</f>
        <v xml:space="preserve">e-CPF A1 - 1 ano </v>
      </c>
      <c r="G282" s="6" t="str">
        <f>Transferencia!J282</f>
        <v>Ponto de Atendimento AR Certifast - Prado BH/MG</v>
      </c>
      <c r="H282" s="4" t="str">
        <f>VLOOKUP(G282,Página1!G:L,6,0)</f>
        <v>Isabella</v>
      </c>
      <c r="I282" s="4" t="s">
        <v>16</v>
      </c>
      <c r="J282" s="5" t="str">
        <f>Transferencia!L282</f>
        <v>016.380.935-63</v>
      </c>
      <c r="K282" s="5" t="str">
        <f>Transferencia!M282</f>
        <v/>
      </c>
      <c r="L282" s="5" t="s">
        <v>242</v>
      </c>
    </row>
    <row r="283" spans="1:12" ht="15.75" customHeight="1">
      <c r="A283" s="5" t="str">
        <f>Transferencia!A283</f>
        <v>23091013</v>
      </c>
      <c r="B283" s="5" t="str">
        <f>Transferencia!B283</f>
        <v>19/02/2025</v>
      </c>
      <c r="C283" s="5" t="str">
        <f>Transferencia!C283</f>
        <v>DOUGLAS DA SILVA ALEXANDRE</v>
      </c>
      <c r="D283" s="5" t="str">
        <f>Transferencia!D283</f>
        <v>douglas_alex83@hotmail.com</v>
      </c>
      <c r="E283" s="5" t="str">
        <f>Transferencia!G283</f>
        <v>5512991086463</v>
      </c>
      <c r="F283" s="5" t="str">
        <f>Transferencia!H283</f>
        <v xml:space="preserve">e-CNPJ A1 - PME </v>
      </c>
      <c r="G283" s="6" t="str">
        <f>Transferencia!J283</f>
        <v>PONTO DE ATENDIMENTO AR CERTIFAST - ANDROMEDA/SP</v>
      </c>
      <c r="H283" s="4" t="str">
        <f>VLOOKUP(G283,Página1!G:L,6,0)</f>
        <v>Rogério</v>
      </c>
      <c r="I283" s="4" t="s">
        <v>16</v>
      </c>
      <c r="J283" s="5" t="str">
        <f>Transferencia!L283</f>
        <v>320.733.348-65</v>
      </c>
      <c r="K283" s="5" t="str">
        <f>Transferencia!M283</f>
        <v>29.957.833/0001-27</v>
      </c>
      <c r="L283" s="5" t="s">
        <v>243</v>
      </c>
    </row>
    <row r="284" spans="1:12" ht="15.75" customHeight="1">
      <c r="A284" s="5" t="str">
        <f>Transferencia!A284</f>
        <v>23091052</v>
      </c>
      <c r="B284" s="5" t="str">
        <f>Transferencia!B284</f>
        <v>19/02/2025</v>
      </c>
      <c r="C284" s="5" t="str">
        <f>Transferencia!C284</f>
        <v>EVERSON BENAVENTANA ALVES</v>
      </c>
      <c r="D284" s="5" t="str">
        <f>Transferencia!D284</f>
        <v>contato@eversonalves.com</v>
      </c>
      <c r="E284" s="5" t="str">
        <f>Transferencia!G284</f>
        <v>55</v>
      </c>
      <c r="F284" s="5" t="str">
        <f>Transferencia!H284</f>
        <v xml:space="preserve">e-CPF A1 - 1 ano </v>
      </c>
      <c r="G284" s="6" t="str">
        <f>Transferencia!J284</f>
        <v>Ponto de Atendimento AR Certifast - Maua Centro/SP</v>
      </c>
      <c r="H284" s="4" t="str">
        <f>VLOOKUP(G284,Página1!G:L,6,0)</f>
        <v>Ingrid</v>
      </c>
      <c r="I284" s="4" t="s">
        <v>16</v>
      </c>
      <c r="J284" s="5" t="str">
        <f>Transferencia!L284</f>
        <v>055.276.146-07</v>
      </c>
      <c r="K284" s="5" t="str">
        <f>Transferencia!M284</f>
        <v/>
      </c>
      <c r="L284" s="5" t="s">
        <v>244</v>
      </c>
    </row>
    <row r="285" spans="1:12" ht="15.75" customHeight="1">
      <c r="A285" s="5" t="str">
        <f>Transferencia!A285</f>
        <v>23093891</v>
      </c>
      <c r="B285" s="5" t="str">
        <f>Transferencia!B285</f>
        <v>19/02/2025</v>
      </c>
      <c r="C285" s="5" t="str">
        <f>Transferencia!C285</f>
        <v>DEBORA CASTANHEIRA STANCATO</v>
      </c>
      <c r="D285" s="5" t="str">
        <f>Transferencia!D285</f>
        <v>debora.stancato@gmail.com</v>
      </c>
      <c r="E285" s="5" t="str">
        <f>Transferencia!G285</f>
        <v>5512981964431</v>
      </c>
      <c r="F285" s="5" t="str">
        <f>Transferencia!H285</f>
        <v xml:space="preserve">e-CPF A1 - 1 ano </v>
      </c>
      <c r="G285" s="6" t="str">
        <f>Transferencia!J285</f>
        <v>PONTO DE ATENDIMENTO AR CERTIFAST - ANDROMEDA/SP</v>
      </c>
      <c r="H285" s="4" t="str">
        <f>VLOOKUP(G285,Página1!G:L,6,0)</f>
        <v>Rogério</v>
      </c>
      <c r="I285" s="4" t="s">
        <v>16</v>
      </c>
      <c r="J285" s="5" t="str">
        <f>Transferencia!L285</f>
        <v>137.656.008-90</v>
      </c>
      <c r="K285" s="5" t="str">
        <f>Transferencia!M285</f>
        <v/>
      </c>
      <c r="L285" s="5" t="s">
        <v>245</v>
      </c>
    </row>
    <row r="286" spans="1:12" ht="15.75" customHeight="1">
      <c r="A286" s="5" t="str">
        <f>Transferencia!A286</f>
        <v>20043186</v>
      </c>
      <c r="B286" s="5" t="str">
        <f>Transferencia!B286</f>
        <v>20/02/2025</v>
      </c>
      <c r="C286" s="5" t="str">
        <f>Transferencia!C286</f>
        <v>JOAO ROBERTO CAVALLARO</v>
      </c>
      <c r="D286" s="5" t="str">
        <f>Transferencia!D286</f>
        <v>financeiro@maxitranssolucoes.com.br</v>
      </c>
      <c r="E286" s="5" t="str">
        <f>Transferencia!G286</f>
        <v>5511999183595</v>
      </c>
      <c r="F286" s="5" t="str">
        <f>Transferencia!H286</f>
        <v xml:space="preserve">e-CPF A3 - 3 anos </v>
      </c>
      <c r="G286" s="6" t="str">
        <f>Transferencia!J286</f>
        <v>PONTO DE ATENDIMENTO AR CERTIFAST - CWM/SP</v>
      </c>
      <c r="H286" s="4" t="e">
        <f>VLOOKUP(G286,Página1!G:L,6,0)</f>
        <v>#N/A</v>
      </c>
      <c r="I286" s="4" t="s">
        <v>16</v>
      </c>
      <c r="J286" s="5" t="str">
        <f>Transferencia!L286</f>
        <v>008.919.798-40</v>
      </c>
      <c r="K286" s="5" t="str">
        <f>Transferencia!M286</f>
        <v/>
      </c>
      <c r="L286" s="5"/>
    </row>
    <row r="287" spans="1:12" ht="15.75" customHeight="1">
      <c r="A287" s="5" t="str">
        <f>Transferencia!A287</f>
        <v>20062032</v>
      </c>
      <c r="B287" s="5" t="str">
        <f>Transferencia!B287</f>
        <v>20/02/2025</v>
      </c>
      <c r="C287" s="5" t="str">
        <f>Transferencia!C287</f>
        <v>KARIN PATRICIA BRAUN</v>
      </c>
      <c r="D287" s="5" t="str">
        <f>Transferencia!D287</f>
        <v>MACROPL2@TERRA.COM.BR</v>
      </c>
      <c r="E287" s="5" t="str">
        <f>Transferencia!G287</f>
        <v>5511998831808</v>
      </c>
      <c r="F287" s="5" t="str">
        <f>Transferencia!H287</f>
        <v xml:space="preserve">e-CNPJ A3 </v>
      </c>
      <c r="G287" s="6" t="str">
        <f>Transferencia!J287</f>
        <v>AR Certifast</v>
      </c>
      <c r="H287" s="4" t="str">
        <f>VLOOKUP(G287,Página1!G:L,6,0)</f>
        <v>Alexandre</v>
      </c>
      <c r="I287" s="4" t="s">
        <v>16</v>
      </c>
      <c r="J287" s="5" t="str">
        <f>Transferencia!L287</f>
        <v>184.629.818-08</v>
      </c>
      <c r="K287" s="5" t="str">
        <f>Transferencia!M287</f>
        <v>06.900.795/0001-70</v>
      </c>
      <c r="L287" s="5" t="s">
        <v>246</v>
      </c>
    </row>
    <row r="288" spans="1:12" ht="15.75" customHeight="1">
      <c r="A288" s="5" t="str">
        <f>Transferencia!A288</f>
        <v>20099103</v>
      </c>
      <c r="B288" s="5" t="str">
        <f>Transferencia!B288</f>
        <v>20/02/2025</v>
      </c>
      <c r="C288" s="5" t="str">
        <f>Transferencia!C288</f>
        <v>ALEXANDRE CARDOSO BANDEIRA</v>
      </c>
      <c r="D288" s="5" t="str">
        <f>Transferencia!D288</f>
        <v>alexandrebandeira@tjmg.jus.br</v>
      </c>
      <c r="E288" s="5" t="str">
        <f>Transferencia!G288</f>
        <v>5531996899574</v>
      </c>
      <c r="F288" s="5" t="str">
        <f>Transferencia!H288</f>
        <v xml:space="preserve">e-CPF A3 - 3 anos </v>
      </c>
      <c r="G288" s="6" t="str">
        <f>Transferencia!J288</f>
        <v>Ponto de Atendimento AR Certifast - Prado BH/MG - JUS</v>
      </c>
      <c r="H288" s="4" t="str">
        <f>VLOOKUP(G288,Página1!G:L,6,0)</f>
        <v>Isabella</v>
      </c>
      <c r="I288" s="4" t="s">
        <v>16</v>
      </c>
      <c r="J288" s="5" t="str">
        <f>Transferencia!L288</f>
        <v>908.258.106-04</v>
      </c>
      <c r="K288" s="5" t="str">
        <f>Transferencia!M288</f>
        <v/>
      </c>
      <c r="L288" s="5" t="s">
        <v>247</v>
      </c>
    </row>
    <row r="289" spans="1:12" ht="15.75" customHeight="1">
      <c r="A289" s="5" t="str">
        <f>Transferencia!A289</f>
        <v>20112296</v>
      </c>
      <c r="B289" s="5" t="str">
        <f>Transferencia!B289</f>
        <v>20/02/2025</v>
      </c>
      <c r="C289" s="5" t="str">
        <f>Transferencia!C289</f>
        <v>PABLO MONTEIRO MERCANTE</v>
      </c>
      <c r="D289" s="5" t="str">
        <f>Transferencia!D289</f>
        <v>pablo.mercante@tjmg.jus.br</v>
      </c>
      <c r="E289" s="5" t="str">
        <f>Transferencia!G289</f>
        <v>553138652214</v>
      </c>
      <c r="F289" s="5" t="str">
        <f>Transferencia!H289</f>
        <v xml:space="preserve">e-CPF A3 - 3 anos </v>
      </c>
      <c r="G289" s="6" t="str">
        <f>Transferencia!J289</f>
        <v>Ponto de Atendimento AR Certifast - Prado BH/MG - JUS</v>
      </c>
      <c r="H289" s="4" t="str">
        <f>VLOOKUP(G289,Página1!G:L,6,0)</f>
        <v>Isabella</v>
      </c>
      <c r="I289" s="4" t="s">
        <v>16</v>
      </c>
      <c r="J289" s="5" t="str">
        <f>Transferencia!L289</f>
        <v>037.845.906-67</v>
      </c>
      <c r="K289" s="5" t="str">
        <f>Transferencia!M289</f>
        <v/>
      </c>
      <c r="L289" s="5" t="s">
        <v>248</v>
      </c>
    </row>
    <row r="290" spans="1:12" ht="15.75" customHeight="1">
      <c r="A290" s="5" t="str">
        <f>Transferencia!A290</f>
        <v>20121220</v>
      </c>
      <c r="B290" s="5" t="str">
        <f>Transferencia!B290</f>
        <v>20/02/2025</v>
      </c>
      <c r="C290" s="5" t="str">
        <f>Transferencia!C290</f>
        <v>PATRICIA DE SOUZA</v>
      </c>
      <c r="D290" s="5" t="str">
        <f>Transferencia!D290</f>
        <v>PDS.CONTABILIDADE@GMAIL.COM</v>
      </c>
      <c r="E290" s="5" t="str">
        <f>Transferencia!G290</f>
        <v>5511988626738</v>
      </c>
      <c r="F290" s="5" t="str">
        <f>Transferencia!H290</f>
        <v xml:space="preserve">e-CPF A3 - 3 anos </v>
      </c>
      <c r="G290" s="6" t="str">
        <f>Transferencia!J290</f>
        <v>AR Certifast</v>
      </c>
      <c r="H290" s="4" t="str">
        <f>VLOOKUP(G290,Página1!G:L,6,0)</f>
        <v>Alexandre</v>
      </c>
      <c r="I290" s="4" t="s">
        <v>16</v>
      </c>
      <c r="J290" s="5" t="str">
        <f>Transferencia!L290</f>
        <v>245.634.288-76</v>
      </c>
      <c r="K290" s="5" t="str">
        <f>Transferencia!M290</f>
        <v/>
      </c>
      <c r="L290" s="5"/>
    </row>
    <row r="291" spans="1:12" ht="15.75" customHeight="1">
      <c r="A291" s="5" t="str">
        <f>Transferencia!A291</f>
        <v>22733403</v>
      </c>
      <c r="B291" s="5" t="str">
        <f>Transferencia!B291</f>
        <v>20/02/2025</v>
      </c>
      <c r="C291" s="5" t="str">
        <f>Transferencia!C291</f>
        <v>JOYCE DE FATIMA BORGES</v>
      </c>
      <c r="D291" s="5" t="str">
        <f>Transferencia!D291</f>
        <v>joycefatimaph@hotmail.com</v>
      </c>
      <c r="E291" s="5" t="str">
        <f>Transferencia!G291</f>
        <v>5512981785284</v>
      </c>
      <c r="F291" s="5" t="str">
        <f>Transferencia!H291</f>
        <v>e-PJ  A1 - 1 ano</v>
      </c>
      <c r="G291" s="6" t="str">
        <f>Transferencia!J291</f>
        <v>PONTO DE ATENDIMENTO AR CERTIFAST - ANDROMEDA/SP</v>
      </c>
      <c r="H291" s="4" t="str">
        <f>VLOOKUP(G291,Página1!G:L,6,0)</f>
        <v>Rogério</v>
      </c>
      <c r="I291" s="4" t="s">
        <v>16</v>
      </c>
      <c r="J291" s="5" t="str">
        <f>Transferencia!L291</f>
        <v>333.678.188-44</v>
      </c>
      <c r="K291" s="5" t="str">
        <f>Transferencia!M291</f>
        <v>28.767.527/0001-65</v>
      </c>
      <c r="L291" s="5" t="s">
        <v>249</v>
      </c>
    </row>
    <row r="292" spans="1:12" ht="15.75" customHeight="1">
      <c r="A292" s="5" t="str">
        <f>Transferencia!A292</f>
        <v>22958785</v>
      </c>
      <c r="B292" s="5" t="str">
        <f>Transferencia!B292</f>
        <v>20/02/2025</v>
      </c>
      <c r="C292" s="5" t="str">
        <f>Transferencia!C292</f>
        <v>MARCELO HENRIQUE MONTEIRO</v>
      </c>
      <c r="D292" s="5" t="str">
        <f>Transferencia!D292</f>
        <v>financeiro@publigoo.com.br</v>
      </c>
      <c r="E292" s="5" t="str">
        <f>Transferencia!G292</f>
        <v>5531985093103</v>
      </c>
      <c r="F292" s="5" t="str">
        <f>Transferencia!H292</f>
        <v xml:space="preserve">e-CNPJ A1 - 1 ano </v>
      </c>
      <c r="G292" s="6" t="str">
        <f>Transferencia!J292</f>
        <v>Ponto de Atendimento AR Certifast - Prado BH/MG</v>
      </c>
      <c r="H292" s="4" t="str">
        <f>VLOOKUP(G292,Página1!G:L,6,0)</f>
        <v>Isabella</v>
      </c>
      <c r="I292" s="4" t="s">
        <v>16</v>
      </c>
      <c r="J292" s="5" t="str">
        <f>Transferencia!L292</f>
        <v>039.081.796-10</v>
      </c>
      <c r="K292" s="5" t="str">
        <f>Transferencia!M292</f>
        <v>17.791.254/0001-78</v>
      </c>
      <c r="L292" s="5"/>
    </row>
    <row r="293" spans="1:12" ht="15.75" customHeight="1">
      <c r="A293" s="5" t="str">
        <f>Transferencia!A293</f>
        <v>23014684</v>
      </c>
      <c r="B293" s="5" t="str">
        <f>Transferencia!B293</f>
        <v>20/02/2025</v>
      </c>
      <c r="C293" s="5" t="str">
        <f>Transferencia!C293</f>
        <v>DELTON SANTOS</v>
      </c>
      <c r="D293" s="5" t="str">
        <f>Transferencia!D293</f>
        <v>mauriciomarsoli@famagas.com.br</v>
      </c>
      <c r="E293" s="5" t="str">
        <f>Transferencia!G293</f>
        <v>5511967310599</v>
      </c>
      <c r="F293" s="5" t="str">
        <f>Transferencia!H293</f>
        <v xml:space="preserve">e-CNPJ A1 - PME </v>
      </c>
      <c r="G293" s="6" t="str">
        <f>Transferencia!J293</f>
        <v>PONTO DE ATENDIMENTO AR CERTIFAST - ANDROMEDA/SP</v>
      </c>
      <c r="H293" s="4" t="str">
        <f>VLOOKUP(G293,Página1!G:L,6,0)</f>
        <v>Rogério</v>
      </c>
      <c r="I293" s="4" t="s">
        <v>16</v>
      </c>
      <c r="J293" s="5" t="str">
        <f>Transferencia!L293</f>
        <v>028.108.528-55</v>
      </c>
      <c r="K293" s="5" t="str">
        <f>Transferencia!M293</f>
        <v>24.170.055/0001-08</v>
      </c>
      <c r="L293" s="5" t="s">
        <v>250</v>
      </c>
    </row>
    <row r="294" spans="1:12" ht="15.75" customHeight="1">
      <c r="A294" s="5" t="str">
        <f>Transferencia!A294</f>
        <v>23014685</v>
      </c>
      <c r="B294" s="5" t="str">
        <f>Transferencia!B294</f>
        <v>20/02/2025</v>
      </c>
      <c r="C294" s="5" t="str">
        <f>Transferencia!C294</f>
        <v>DELTON SANTOS</v>
      </c>
      <c r="D294" s="5" t="str">
        <f>Transferencia!D294</f>
        <v>mauriciomarsoli@famagas.com.br</v>
      </c>
      <c r="E294" s="5" t="str">
        <f>Transferencia!G294</f>
        <v>5511967310599</v>
      </c>
      <c r="F294" s="5" t="str">
        <f>Transferencia!H294</f>
        <v xml:space="preserve">e-CNPJ A1 - PME </v>
      </c>
      <c r="G294" s="6" t="str">
        <f>Transferencia!J294</f>
        <v>PONTO DE ATENDIMENTO AR CERTIFAST - ANDROMEDA/SP</v>
      </c>
      <c r="H294" s="4" t="str">
        <f>VLOOKUP(G294,Página1!G:L,6,0)</f>
        <v>Rogério</v>
      </c>
      <c r="I294" s="4" t="s">
        <v>16</v>
      </c>
      <c r="J294" s="5" t="str">
        <f>Transferencia!L294</f>
        <v>028.108.528-55</v>
      </c>
      <c r="K294" s="5" t="str">
        <f>Transferencia!M294</f>
        <v>02.377.203/0001-27</v>
      </c>
      <c r="L294" s="5"/>
    </row>
    <row r="295" spans="1:12" ht="15.75" customHeight="1">
      <c r="A295" s="5" t="str">
        <f>Transferencia!A295</f>
        <v>23014687</v>
      </c>
      <c r="B295" s="5" t="str">
        <f>Transferencia!B295</f>
        <v>20/02/2025</v>
      </c>
      <c r="C295" s="5" t="str">
        <f>Transferencia!C295</f>
        <v>REGINALDO CESAR RIBEIRO</v>
      </c>
      <c r="D295" s="5" t="str">
        <f>Transferencia!D295</f>
        <v>mauriciomarsoli@famagas.com.br</v>
      </c>
      <c r="E295" s="5" t="str">
        <f>Transferencia!G295</f>
        <v>5511967310599</v>
      </c>
      <c r="F295" s="5" t="str">
        <f>Transferencia!H295</f>
        <v xml:space="preserve">e-CNPJ A1 - PME </v>
      </c>
      <c r="G295" s="6" t="str">
        <f>Transferencia!J295</f>
        <v>PONTO DE ATENDIMENTO AR CERTIFAST - ANDROMEDA/SP</v>
      </c>
      <c r="H295" s="4" t="str">
        <f>VLOOKUP(G295,Página1!G:L,6,0)</f>
        <v>Rogério</v>
      </c>
      <c r="I295" s="4" t="s">
        <v>16</v>
      </c>
      <c r="J295" s="5" t="str">
        <f>Transferencia!L295</f>
        <v>061.316.928-07</v>
      </c>
      <c r="K295" s="5" t="str">
        <f>Transferencia!M295</f>
        <v>72.885.072/0001-74</v>
      </c>
      <c r="L295" s="5"/>
    </row>
    <row r="296" spans="1:12" ht="15.75" customHeight="1">
      <c r="A296" s="5" t="str">
        <f>Transferencia!A296</f>
        <v>23022536</v>
      </c>
      <c r="B296" s="5" t="str">
        <f>Transferencia!B296</f>
        <v>20/02/2025</v>
      </c>
      <c r="C296" s="5" t="str">
        <f>Transferencia!C296</f>
        <v>ALICE COSTA AMARAL ROCHA</v>
      </c>
      <c r="D296" s="5" t="str">
        <f>Transferencia!D296</f>
        <v>mamaralr@yahoo.com.br</v>
      </c>
      <c r="E296" s="5" t="str">
        <f>Transferencia!G296</f>
        <v>5531984208575</v>
      </c>
      <c r="F296" s="5" t="str">
        <f>Transferencia!H296</f>
        <v xml:space="preserve">e-CNPJ A1 - 1 ano </v>
      </c>
      <c r="G296" s="6" t="str">
        <f>Transferencia!J296</f>
        <v>Ponto de Atendimento AR Certifast - Prado BH/MG</v>
      </c>
      <c r="H296" s="4" t="str">
        <f>VLOOKUP(G296,Página1!G:L,6,0)</f>
        <v>Isabella</v>
      </c>
      <c r="I296" s="4" t="s">
        <v>16</v>
      </c>
      <c r="J296" s="5" t="str">
        <f>Transferencia!L296</f>
        <v>082.879.516-90</v>
      </c>
      <c r="K296" s="5" t="str">
        <f>Transferencia!M296</f>
        <v>30.849.357/0001-00</v>
      </c>
      <c r="L296" s="5" t="s">
        <v>251</v>
      </c>
    </row>
    <row r="297" spans="1:12" ht="15.75" customHeight="1">
      <c r="A297" s="5" t="str">
        <f>Transferencia!A297</f>
        <v>23064558</v>
      </c>
      <c r="B297" s="5" t="str">
        <f>Transferencia!B297</f>
        <v>20/02/2025</v>
      </c>
      <c r="C297" s="5" t="str">
        <f>Transferencia!C297</f>
        <v>RODRIGO FERREIRA DA SILVA</v>
      </c>
      <c r="D297" s="5" t="str">
        <f>Transferencia!D297</f>
        <v>rodrigo@optmax.com.br</v>
      </c>
      <c r="E297" s="5" t="str">
        <f>Transferencia!G297</f>
        <v>5531988573166</v>
      </c>
      <c r="F297" s="5" t="str">
        <f>Transferencia!H297</f>
        <v xml:space="preserve">e-CNPJ A1 - 1 ano </v>
      </c>
      <c r="G297" s="6" t="str">
        <f>Transferencia!J297</f>
        <v>Ponto de Atendimento AR Certifast - Prado BH/MG</v>
      </c>
      <c r="H297" s="4" t="str">
        <f>VLOOKUP(G297,Página1!G:L,6,0)</f>
        <v>Isabella</v>
      </c>
      <c r="I297" s="4" t="s">
        <v>16</v>
      </c>
      <c r="J297" s="5" t="str">
        <f>Transferencia!L297</f>
        <v>063.946.736-92</v>
      </c>
      <c r="K297" s="5" t="str">
        <f>Transferencia!M297</f>
        <v>10.687.265/0001-63</v>
      </c>
      <c r="L297" s="5" t="s">
        <v>252</v>
      </c>
    </row>
    <row r="298" spans="1:12" ht="15.75" customHeight="1">
      <c r="A298" s="5" t="str">
        <f>Transferencia!A298</f>
        <v>23064696</v>
      </c>
      <c r="B298" s="5" t="str">
        <f>Transferencia!B298</f>
        <v>20/02/2025</v>
      </c>
      <c r="C298" s="5" t="str">
        <f>Transferencia!C298</f>
        <v>MARYLENA RODRIGUES AVOLETA SOUZA</v>
      </c>
      <c r="D298" s="5" t="str">
        <f>Transferencia!D298</f>
        <v>FINANCEIRO@FEGBRASIL.COM.BR</v>
      </c>
      <c r="E298" s="5" t="str">
        <f>Transferencia!G298</f>
        <v>55</v>
      </c>
      <c r="F298" s="5" t="str">
        <f>Transferencia!H298</f>
        <v xml:space="preserve">e-CNPJ A1 - 1 ano </v>
      </c>
      <c r="G298" s="6" t="str">
        <f>Transferencia!J298</f>
        <v>Ponto de Atendimento AR Certifast - Maua Centro/SP</v>
      </c>
      <c r="H298" s="4" t="str">
        <f>VLOOKUP(G298,Página1!G:L,6,0)</f>
        <v>Ingrid</v>
      </c>
      <c r="I298" s="4" t="s">
        <v>16</v>
      </c>
      <c r="J298" s="5" t="str">
        <f>Transferencia!L298</f>
        <v>268.335.018-07</v>
      </c>
      <c r="K298" s="5" t="str">
        <f>Transferencia!M298</f>
        <v>08.014.713/0001-16</v>
      </c>
      <c r="L298" s="5" t="s">
        <v>253</v>
      </c>
    </row>
    <row r="299" spans="1:12" ht="15.75" customHeight="1">
      <c r="A299" s="5" t="str">
        <f>Transferencia!A299</f>
        <v>23071382</v>
      </c>
      <c r="B299" s="5" t="str">
        <f>Transferencia!B299</f>
        <v>20/02/2025</v>
      </c>
      <c r="C299" s="5" t="str">
        <f>Transferencia!C299</f>
        <v>EDUARDO NOGUEIRA RODRIGUES</v>
      </c>
      <c r="D299" s="5" t="str">
        <f>Transferencia!D299</f>
        <v>eduardo@hazakbrasil.com.br</v>
      </c>
      <c r="E299" s="5" t="str">
        <f>Transferencia!G299</f>
        <v>5511995996800</v>
      </c>
      <c r="F299" s="5" t="str">
        <f>Transferencia!H299</f>
        <v xml:space="preserve">e-CNPJ A1 - 1 ano </v>
      </c>
      <c r="G299" s="6" t="str">
        <f>Transferencia!J299</f>
        <v>Ponto de Atendimento AR Certifast - Maua Centro/SP</v>
      </c>
      <c r="H299" s="4" t="str">
        <f>VLOOKUP(G299,Página1!G:L,6,0)</f>
        <v>Ingrid</v>
      </c>
      <c r="I299" s="4" t="s">
        <v>16</v>
      </c>
      <c r="J299" s="5" t="str">
        <f>Transferencia!L299</f>
        <v>048.031.716-02</v>
      </c>
      <c r="K299" s="5" t="str">
        <f>Transferencia!M299</f>
        <v>15.474.843/0001-05</v>
      </c>
      <c r="L299" s="5"/>
    </row>
    <row r="300" spans="1:12" ht="15.75" customHeight="1">
      <c r="A300" s="5" t="str">
        <f>Transferencia!A300</f>
        <v>23077434</v>
      </c>
      <c r="B300" s="5" t="str">
        <f>Transferencia!B300</f>
        <v>20/02/2025</v>
      </c>
      <c r="C300" s="5" t="str">
        <f>Transferencia!C300</f>
        <v>KESIA DAFINE ALVES AQUINO</v>
      </c>
      <c r="D300" s="5" t="str">
        <f>Transferencia!D300</f>
        <v>kesia.dafine@outlook.com</v>
      </c>
      <c r="E300" s="5" t="str">
        <f>Transferencia!G300</f>
        <v>5531971960139</v>
      </c>
      <c r="F300" s="5" t="str">
        <f>Transferencia!H300</f>
        <v xml:space="preserve">e-CNPJ A1 - PME </v>
      </c>
      <c r="G300" s="6" t="str">
        <f>Transferencia!J300</f>
        <v>Ponto de Atendimento AR Certifast - Prado BH/MG</v>
      </c>
      <c r="H300" s="4" t="str">
        <f>VLOOKUP(G300,Página1!G:L,6,0)</f>
        <v>Isabella</v>
      </c>
      <c r="I300" s="4" t="s">
        <v>16</v>
      </c>
      <c r="J300" s="5" t="str">
        <f>Transferencia!L300</f>
        <v>153.518.266-07</v>
      </c>
      <c r="K300" s="5" t="str">
        <f>Transferencia!M300</f>
        <v>43.681.870/0001-86</v>
      </c>
      <c r="L300" s="5" t="s">
        <v>254</v>
      </c>
    </row>
    <row r="301" spans="1:12" ht="15.75" customHeight="1">
      <c r="A301" s="5" t="str">
        <f>Transferencia!A301</f>
        <v>23091237</v>
      </c>
      <c r="B301" s="5" t="str">
        <f>Transferencia!B301</f>
        <v>20/02/2025</v>
      </c>
      <c r="C301" s="5" t="str">
        <f>Transferencia!C301</f>
        <v>ARIANE STEPHANIE LEMES GONZAGA</v>
      </c>
      <c r="D301" s="5" t="str">
        <f>Transferencia!D301</f>
        <v>arianesteph@yahoo.com.br</v>
      </c>
      <c r="E301" s="5" t="str">
        <f>Transferencia!G301</f>
        <v>5512988320278</v>
      </c>
      <c r="F301" s="5" t="str">
        <f>Transferencia!H301</f>
        <v xml:space="preserve">e-CNPJ A1 - 1 ano </v>
      </c>
      <c r="G301" s="6" t="str">
        <f>Transferencia!J301</f>
        <v>PONTO DE ATENDIMENTO AR CERTIFAST - ANDROMEDA/SP</v>
      </c>
      <c r="H301" s="4" t="str">
        <f>VLOOKUP(G301,Página1!G:L,6,0)</f>
        <v>Rogério</v>
      </c>
      <c r="I301" s="4" t="s">
        <v>16</v>
      </c>
      <c r="J301" s="5" t="str">
        <f>Transferencia!L301</f>
        <v>229.429.688-50</v>
      </c>
      <c r="K301" s="5" t="str">
        <f>Transferencia!M301</f>
        <v>30.214.967/0001-37</v>
      </c>
      <c r="L301" s="5" t="s">
        <v>255</v>
      </c>
    </row>
    <row r="302" spans="1:12" ht="15.75" customHeight="1">
      <c r="A302" s="5" t="str">
        <f>Transferencia!A302</f>
        <v>23091319</v>
      </c>
      <c r="B302" s="5" t="str">
        <f>Transferencia!B302</f>
        <v>20/02/2025</v>
      </c>
      <c r="C302" s="5" t="str">
        <f>Transferencia!C302</f>
        <v>MARIA VANDERLY VILELA DE LIMA</v>
      </c>
      <c r="D302" s="5" t="str">
        <f>Transferencia!D302</f>
        <v>vanderlyvilela12@gmail.com</v>
      </c>
      <c r="E302" s="5" t="str">
        <f>Transferencia!G302</f>
        <v>5512997846651</v>
      </c>
      <c r="F302" s="5" t="str">
        <f>Transferencia!H302</f>
        <v xml:space="preserve">e-CNPJ A1 - 1 ano </v>
      </c>
      <c r="G302" s="6" t="str">
        <f>Transferencia!J302</f>
        <v>PONTO DE ATENDIMENTO AR CERTIFAST - ANDROMEDA/SP</v>
      </c>
      <c r="H302" s="4" t="str">
        <f>VLOOKUP(G302,Página1!G:L,6,0)</f>
        <v>Rogério</v>
      </c>
      <c r="I302" s="4" t="s">
        <v>16</v>
      </c>
      <c r="J302" s="5" t="str">
        <f>Transferencia!L302</f>
        <v>628.189.968-72</v>
      </c>
      <c r="K302" s="5" t="str">
        <f>Transferencia!M302</f>
        <v>02.458.866/0001-76</v>
      </c>
      <c r="L302" s="5" t="s">
        <v>256</v>
      </c>
    </row>
    <row r="303" spans="1:12" ht="15.75" customHeight="1">
      <c r="A303" s="5" t="str">
        <f>Transferencia!A303</f>
        <v>23092703</v>
      </c>
      <c r="B303" s="5" t="str">
        <f>Transferencia!B303</f>
        <v>20/02/2025</v>
      </c>
      <c r="C303" s="5" t="str">
        <f>Transferencia!C303</f>
        <v>GABRIEL OLIVEIRA CARDOSO</v>
      </c>
      <c r="D303" s="5" t="str">
        <f>Transferencia!D303</f>
        <v>coord.societario@reluzcontabil.com.br</v>
      </c>
      <c r="E303" s="5" t="str">
        <f>Transferencia!G303</f>
        <v>5511967062957</v>
      </c>
      <c r="F303" s="5" t="str">
        <f>Transferencia!H303</f>
        <v xml:space="preserve">e-CNPJ A1 - PME </v>
      </c>
      <c r="G303" s="6" t="str">
        <f>Transferencia!J303</f>
        <v>Ponto de Atendimento AR Certifast - Maua Centro/SP</v>
      </c>
      <c r="H303" s="4" t="str">
        <f>VLOOKUP(G303,Página1!G:L,6,0)</f>
        <v>Ingrid</v>
      </c>
      <c r="I303" s="4" t="s">
        <v>16</v>
      </c>
      <c r="J303" s="5" t="str">
        <f>Transferencia!L303</f>
        <v>355.236.558-30</v>
      </c>
      <c r="K303" s="5" t="str">
        <f>Transferencia!M303</f>
        <v>53.290.653/0001-19</v>
      </c>
      <c r="L303" s="5" t="s">
        <v>256</v>
      </c>
    </row>
    <row r="304" spans="1:12" ht="15.75" customHeight="1">
      <c r="A304" s="5" t="str">
        <f>Transferencia!A304</f>
        <v>23093019</v>
      </c>
      <c r="B304" s="5" t="str">
        <f>Transferencia!B304</f>
        <v>20/02/2025</v>
      </c>
      <c r="C304" s="5" t="str">
        <f>Transferencia!C304</f>
        <v>ADRIANO RICARDO MANTOAN</v>
      </c>
      <c r="D304" s="5" t="str">
        <f>Transferencia!D304</f>
        <v>contabil@I9grupo.com.br</v>
      </c>
      <c r="E304" s="5" t="str">
        <f>Transferencia!G304</f>
        <v>55</v>
      </c>
      <c r="F304" s="5" t="str">
        <f>Transferencia!H304</f>
        <v xml:space="preserve">e-CNPJ A1 - 1 ano </v>
      </c>
      <c r="G304" s="6" t="str">
        <f>Transferencia!J304</f>
        <v>Ponto de Atendimento AR Certifast - Maua Centro/SP</v>
      </c>
      <c r="H304" s="4" t="str">
        <f>VLOOKUP(G304,Página1!G:L,6,0)</f>
        <v>Ingrid</v>
      </c>
      <c r="I304" s="4" t="s">
        <v>16</v>
      </c>
      <c r="J304" s="5" t="str">
        <f>Transferencia!L304</f>
        <v>149.970.948-03</v>
      </c>
      <c r="K304" s="5" t="str">
        <f>Transferencia!M304</f>
        <v>32.288.286/0001-49</v>
      </c>
      <c r="L304" s="5" t="s">
        <v>257</v>
      </c>
    </row>
    <row r="305" spans="1:12" ht="15.75" customHeight="1">
      <c r="A305" s="5" t="str">
        <f>Transferencia!A305</f>
        <v>23093805</v>
      </c>
      <c r="B305" s="5" t="str">
        <f>Transferencia!B305</f>
        <v>20/02/2025</v>
      </c>
      <c r="C305" s="5" t="str">
        <f>Transferencia!C305</f>
        <v>ALEXSANDER NASCIMENTO</v>
      </c>
      <c r="D305" s="5" t="str">
        <f>Transferencia!D305</f>
        <v>496assjur@gmail.com</v>
      </c>
      <c r="E305" s="5" t="str">
        <f>Transferencia!G305</f>
        <v>5512920017813</v>
      </c>
      <c r="F305" s="5" t="str">
        <f>Transferencia!H305</f>
        <v xml:space="preserve">e-CNPJ A1 - 1 ano </v>
      </c>
      <c r="G305" s="6" t="str">
        <f>Transferencia!J305</f>
        <v>PONTO DE ATENDIMENTO AR CERTIFAST - ANDROMEDA/SP</v>
      </c>
      <c r="H305" s="4" t="str">
        <f>VLOOKUP(G305,Página1!G:L,6,0)</f>
        <v>Rogério</v>
      </c>
      <c r="I305" s="4" t="s">
        <v>16</v>
      </c>
      <c r="J305" s="5" t="str">
        <f>Transferencia!L305</f>
        <v>183.863.098-81</v>
      </c>
      <c r="K305" s="5" t="str">
        <f>Transferencia!M305</f>
        <v>47.534.391/0001-98</v>
      </c>
      <c r="L305" s="5" t="s">
        <v>258</v>
      </c>
    </row>
    <row r="306" spans="1:12" ht="15.75" customHeight="1">
      <c r="A306" s="5" t="str">
        <f>Transferencia!A306</f>
        <v>23095068</v>
      </c>
      <c r="B306" s="5" t="str">
        <f>Transferencia!B306</f>
        <v>20/02/2025</v>
      </c>
      <c r="C306" s="5" t="str">
        <f>Transferencia!C306</f>
        <v>JAKELINE RODRIGUES DA ROCHA</v>
      </c>
      <c r="D306" s="5" t="str">
        <f>Transferencia!D306</f>
        <v>vendasjkmodass@gmail.com</v>
      </c>
      <c r="E306" s="5" t="str">
        <f>Transferencia!G306</f>
        <v>55</v>
      </c>
      <c r="F306" s="5" t="str">
        <f>Transferencia!H306</f>
        <v xml:space="preserve">e-CNPJ A1 - Mobile - 1 ano </v>
      </c>
      <c r="G306" s="6" t="str">
        <f>Transferencia!J306</f>
        <v>Ponto de Atendimento AR Certifast - Maua Centro/SP</v>
      </c>
      <c r="H306" s="4" t="str">
        <f>VLOOKUP(G306,Página1!G:L,6,0)</f>
        <v>Ingrid</v>
      </c>
      <c r="I306" s="4" t="s">
        <v>16</v>
      </c>
      <c r="J306" s="5" t="str">
        <f>Transferencia!L306</f>
        <v>104.921.284-30</v>
      </c>
      <c r="K306" s="5" t="str">
        <f>Transferencia!M306</f>
        <v>46.323.167/0001-94</v>
      </c>
      <c r="L306" s="5" t="s">
        <v>259</v>
      </c>
    </row>
    <row r="307" spans="1:12" ht="15.75" customHeight="1">
      <c r="A307" s="5" t="str">
        <f>Transferencia!A307</f>
        <v>23095782</v>
      </c>
      <c r="B307" s="5" t="str">
        <f>Transferencia!B307</f>
        <v>20/02/2025</v>
      </c>
      <c r="C307" s="5" t="str">
        <f>Transferencia!C307</f>
        <v>EDUARDO DE OLIVEIRA APARECIDO</v>
      </c>
      <c r="D307" s="5" t="str">
        <f>Transferencia!D307</f>
        <v>mavilinborges@gmail.com</v>
      </c>
      <c r="E307" s="5" t="str">
        <f>Transferencia!G307</f>
        <v>5512981950323</v>
      </c>
      <c r="F307" s="5" t="str">
        <f>Transferencia!H307</f>
        <v xml:space="preserve">e-CPF A1 - 1 ano </v>
      </c>
      <c r="G307" s="6" t="str">
        <f>Transferencia!J307</f>
        <v>PONTO DE ATENDIMENTO AR CERTIFAST - ANDROMEDA/SP</v>
      </c>
      <c r="H307" s="4" t="str">
        <f>VLOOKUP(G307,Página1!G:L,6,0)</f>
        <v>Rogério</v>
      </c>
      <c r="I307" s="4" t="s">
        <v>16</v>
      </c>
      <c r="J307" s="5" t="str">
        <f>Transferencia!L307</f>
        <v>260.053.948-43</v>
      </c>
      <c r="K307" s="5" t="str">
        <f>Transferencia!M307</f>
        <v/>
      </c>
      <c r="L307" s="5" t="s">
        <v>260</v>
      </c>
    </row>
    <row r="308" spans="1:12" ht="15.75" customHeight="1">
      <c r="A308" s="5" t="str">
        <f>Transferencia!A308</f>
        <v>23095783</v>
      </c>
      <c r="B308" s="5" t="str">
        <f>Transferencia!B308</f>
        <v>20/02/2025</v>
      </c>
      <c r="C308" s="5" t="str">
        <f>Transferencia!C308</f>
        <v>ANA BEATRIZ JUNQUEIRA MAIA APARECIDO</v>
      </c>
      <c r="D308" s="5" t="str">
        <f>Transferencia!D308</f>
        <v>mavilinborges@gmail.com</v>
      </c>
      <c r="E308" s="5" t="str">
        <f>Transferencia!G308</f>
        <v>5512997333006</v>
      </c>
      <c r="F308" s="5" t="str">
        <f>Transferencia!H308</f>
        <v xml:space="preserve">e-CPF A1 - 1 ano </v>
      </c>
      <c r="G308" s="6" t="str">
        <f>Transferencia!J308</f>
        <v>PONTO DE ATENDIMENTO AR CERTIFAST - ANDROMEDA/SP</v>
      </c>
      <c r="H308" s="4" t="str">
        <f>VLOOKUP(G308,Página1!G:L,6,0)</f>
        <v>Rogério</v>
      </c>
      <c r="I308" s="4" t="s">
        <v>16</v>
      </c>
      <c r="J308" s="5" t="str">
        <f>Transferencia!L308</f>
        <v>312.786.608-95</v>
      </c>
      <c r="K308" s="5" t="str">
        <f>Transferencia!M308</f>
        <v/>
      </c>
      <c r="L308" s="5"/>
    </row>
    <row r="309" spans="1:12" ht="15.75" customHeight="1">
      <c r="A309" s="5" t="str">
        <f>Transferencia!A309</f>
        <v>23096849</v>
      </c>
      <c r="B309" s="5" t="str">
        <f>Transferencia!B309</f>
        <v>20/02/2025</v>
      </c>
      <c r="C309" s="5" t="str">
        <f>Transferencia!C309</f>
        <v>RAUL OLIVEIRA LIMA DE CASTRO</v>
      </c>
      <c r="D309" s="5" t="str">
        <f>Transferencia!D309</f>
        <v>raulolimacastro@gmail.com</v>
      </c>
      <c r="E309" s="5" t="str">
        <f>Transferencia!G309</f>
        <v>5531992959727</v>
      </c>
      <c r="F309" s="5" t="str">
        <f>Transferencia!H309</f>
        <v xml:space="preserve">e-CNPJ A1 - PME </v>
      </c>
      <c r="G309" s="6" t="str">
        <f>Transferencia!J309</f>
        <v>Ponto de Atendimento AR Certifast - Prado BH/MG</v>
      </c>
      <c r="H309" s="4" t="str">
        <f>VLOOKUP(G309,Página1!G:L,6,0)</f>
        <v>Isabella</v>
      </c>
      <c r="I309" s="4" t="s">
        <v>16</v>
      </c>
      <c r="J309" s="5" t="str">
        <f>Transferencia!L309</f>
        <v>806.909.807-44</v>
      </c>
      <c r="K309" s="5" t="str">
        <f>Transferencia!M309</f>
        <v>09.426.006/0001-08</v>
      </c>
      <c r="L309" s="5" t="s">
        <v>261</v>
      </c>
    </row>
    <row r="310" spans="1:12" ht="15.75" customHeight="1">
      <c r="A310" s="5" t="str">
        <f>Transferencia!A310</f>
        <v>23097284</v>
      </c>
      <c r="B310" s="5" t="str">
        <f>Transferencia!B310</f>
        <v>20/02/2025</v>
      </c>
      <c r="C310" s="5" t="str">
        <f>Transferencia!C310</f>
        <v>IRINEU DE MELO SOBRINHO</v>
      </c>
      <c r="D310" s="5" t="str">
        <f>Transferencia!D310</f>
        <v>melomecanica@yahoo.com.br</v>
      </c>
      <c r="E310" s="5" t="str">
        <f>Transferencia!G310</f>
        <v>5512988028118</v>
      </c>
      <c r="F310" s="5" t="str">
        <f>Transferencia!H310</f>
        <v xml:space="preserve">e-CNPJ A1 - 1 ano </v>
      </c>
      <c r="G310" s="6" t="str">
        <f>Transferencia!J310</f>
        <v>PONTO DE ATENDIMENTO AR CERTIFAST - ANDROMEDA/SP</v>
      </c>
      <c r="H310" s="4" t="str">
        <f>VLOOKUP(G310,Página1!G:L,6,0)</f>
        <v>Rogério</v>
      </c>
      <c r="I310" s="4" t="s">
        <v>16</v>
      </c>
      <c r="J310" s="5" t="str">
        <f>Transferencia!L310</f>
        <v>887.604.568-68</v>
      </c>
      <c r="K310" s="5" t="str">
        <f>Transferencia!M310</f>
        <v>00.851.110/0001-67</v>
      </c>
      <c r="L310" s="5"/>
    </row>
    <row r="311" spans="1:12" ht="15.75" customHeight="1">
      <c r="A311" s="5" t="str">
        <f>Transferencia!A311</f>
        <v>23098040</v>
      </c>
      <c r="B311" s="5" t="str">
        <f>Transferencia!B311</f>
        <v>20/02/2025</v>
      </c>
      <c r="C311" s="5" t="str">
        <f>Transferencia!C311</f>
        <v>GILMAR MARCOS DA SILVA</v>
      </c>
      <c r="D311" s="5" t="str">
        <f>Transferencia!D311</f>
        <v>silbor.contato@hotmail.com</v>
      </c>
      <c r="E311" s="5" t="str">
        <f>Transferencia!G311</f>
        <v>5512987055196</v>
      </c>
      <c r="F311" s="5" t="str">
        <f>Transferencia!H311</f>
        <v>e-PJ  A1 - 1 ano</v>
      </c>
      <c r="G311" s="6" t="str">
        <f>Transferencia!J311</f>
        <v>PONTO DE ATENDIMENTO AR CERTIFAST - ANDROMEDA/SP</v>
      </c>
      <c r="H311" s="4" t="str">
        <f>VLOOKUP(G311,Página1!G:L,6,0)</f>
        <v>Rogério</v>
      </c>
      <c r="I311" s="4" t="s">
        <v>16</v>
      </c>
      <c r="J311" s="5" t="str">
        <f>Transferencia!L311</f>
        <v>334.935.308-89</v>
      </c>
      <c r="K311" s="5" t="str">
        <f>Transferencia!M311</f>
        <v>18.585.004/0001-44</v>
      </c>
      <c r="L311" s="5" t="s">
        <v>262</v>
      </c>
    </row>
    <row r="312" spans="1:12" ht="15.75" customHeight="1">
      <c r="A312" s="5" t="str">
        <f>Transferencia!A312</f>
        <v>20031313</v>
      </c>
      <c r="B312" s="5" t="str">
        <f>Transferencia!B312</f>
        <v>21/02/2025</v>
      </c>
      <c r="C312" s="5" t="str">
        <f>Transferencia!C312</f>
        <v>IVAN CHAKKOUR</v>
      </c>
      <c r="D312" s="5" t="str">
        <f>Transferencia!D312</f>
        <v>dramarialuiza@uol.com.br</v>
      </c>
      <c r="E312" s="5" t="str">
        <f>Transferencia!G312</f>
        <v>5511999353415</v>
      </c>
      <c r="F312" s="5" t="str">
        <f>Transferencia!H312</f>
        <v xml:space="preserve">e-CNPJ A3 - 3 anos </v>
      </c>
      <c r="G312" s="6" t="str">
        <f>Transferencia!J312</f>
        <v>AR Certifast</v>
      </c>
      <c r="H312" s="4" t="str">
        <f>VLOOKUP(G312,Página1!G:L,6,0)</f>
        <v>Alexandre</v>
      </c>
      <c r="I312" s="4" t="s">
        <v>16</v>
      </c>
      <c r="J312" s="5" t="str">
        <f>Transferencia!L312</f>
        <v>047.466.018-44</v>
      </c>
      <c r="K312" s="5" t="str">
        <f>Transferencia!M312</f>
        <v>03.570.392/0001-12</v>
      </c>
      <c r="L312" s="5" t="s">
        <v>263</v>
      </c>
    </row>
    <row r="313" spans="1:12" ht="15.75" customHeight="1">
      <c r="A313" s="5" t="str">
        <f>Transferencia!A313</f>
        <v>20117668</v>
      </c>
      <c r="B313" s="5" t="str">
        <f>Transferencia!B313</f>
        <v>21/02/2025</v>
      </c>
      <c r="C313" s="5" t="str">
        <f>Transferencia!C313</f>
        <v>DANIELA BASTOS LEAO</v>
      </c>
      <c r="D313" s="5" t="str">
        <f>Transferencia!D313</f>
        <v>daniela.leao@tjmg.jus.br</v>
      </c>
      <c r="E313" s="5" t="str">
        <f>Transferencia!G313</f>
        <v>5531988436646</v>
      </c>
      <c r="F313" s="5" t="str">
        <f>Transferencia!H313</f>
        <v xml:space="preserve">e-CPF A3 - 3 anos </v>
      </c>
      <c r="G313" s="6" t="str">
        <f>Transferencia!J313</f>
        <v>Ponto de Atendimento AR Certifast - Prado BH/MG - JUS</v>
      </c>
      <c r="H313" s="4" t="str">
        <f>VLOOKUP(G313,Página1!G:L,6,0)</f>
        <v>Isabella</v>
      </c>
      <c r="I313" s="4" t="s">
        <v>16</v>
      </c>
      <c r="J313" s="5" t="str">
        <f>Transferencia!L313</f>
        <v>035.888.516-74</v>
      </c>
      <c r="K313" s="5" t="str">
        <f>Transferencia!M313</f>
        <v/>
      </c>
      <c r="L313" s="5" t="s">
        <v>264</v>
      </c>
    </row>
    <row r="314" spans="1:12" ht="15.75" customHeight="1">
      <c r="A314" s="5" t="str">
        <f>Transferencia!A314</f>
        <v>20120983</v>
      </c>
      <c r="B314" s="5" t="str">
        <f>Transferencia!B314</f>
        <v>21/02/2025</v>
      </c>
      <c r="C314" s="5" t="str">
        <f>Transferencia!C314</f>
        <v>AMANDA TORQUATO DUARTE</v>
      </c>
      <c r="D314" s="5" t="str">
        <f>Transferencia!D314</f>
        <v>amanda@srst.com.br</v>
      </c>
      <c r="E314" s="5" t="str">
        <f>Transferencia!G314</f>
        <v>5531993102251</v>
      </c>
      <c r="F314" s="5" t="str">
        <f>Transferencia!H314</f>
        <v xml:space="preserve">e-CNPJ A3 - 3 anos </v>
      </c>
      <c r="G314" s="6" t="str">
        <f>Transferencia!J314</f>
        <v>Ponto de Atendimento AR Certifast - Prado BH/MG</v>
      </c>
      <c r="H314" s="4" t="str">
        <f>VLOOKUP(G314,Página1!G:L,6,0)</f>
        <v>Isabella</v>
      </c>
      <c r="I314" s="4" t="s">
        <v>16</v>
      </c>
      <c r="J314" s="5" t="str">
        <f>Transferencia!L314</f>
        <v>081.392.636-05</v>
      </c>
      <c r="K314" s="5" t="str">
        <f>Transferencia!M314</f>
        <v>19.653.085/0001-35</v>
      </c>
      <c r="L314" s="5"/>
    </row>
    <row r="315" spans="1:12" ht="15.75" customHeight="1">
      <c r="A315" s="5" t="str">
        <f>Transferencia!A315</f>
        <v>20125999</v>
      </c>
      <c r="B315" s="5" t="str">
        <f>Transferencia!B315</f>
        <v>21/02/2025</v>
      </c>
      <c r="C315" s="5" t="str">
        <f>Transferencia!C315</f>
        <v>OLIVER FELICIO CASA</v>
      </c>
      <c r="D315" s="5" t="str">
        <f>Transferencia!D315</f>
        <v>85ofcasa@gmail.com</v>
      </c>
      <c r="E315" s="5" t="str">
        <f>Transferencia!G315</f>
        <v>5511995759293</v>
      </c>
      <c r="F315" s="5" t="str">
        <f>Transferencia!H315</f>
        <v xml:space="preserve">e-CPF A3 - remoteID - 3 anos </v>
      </c>
      <c r="G315" s="6" t="str">
        <f>Transferencia!J315</f>
        <v>Ponto de Atendimento AR Certifast - Jundiai Centro/SP</v>
      </c>
      <c r="H315" s="4" t="str">
        <f>VLOOKUP(G315,Página1!G:L,6,0)</f>
        <v>Alexandre</v>
      </c>
      <c r="I315" s="4" t="s">
        <v>16</v>
      </c>
      <c r="J315" s="5" t="str">
        <f>Transferencia!L315</f>
        <v>330.869.418-20</v>
      </c>
      <c r="K315" s="5" t="str">
        <f>Transferencia!M315</f>
        <v/>
      </c>
      <c r="L315" s="5" t="s">
        <v>265</v>
      </c>
    </row>
    <row r="316" spans="1:12" ht="15.75" customHeight="1">
      <c r="A316" s="5" t="str">
        <f>Transferencia!A316</f>
        <v>23041813</v>
      </c>
      <c r="B316" s="5" t="str">
        <f>Transferencia!B316</f>
        <v>21/02/2025</v>
      </c>
      <c r="C316" s="5" t="str">
        <f>Transferencia!C316</f>
        <v>ALEXANDRE MASCARENHAS FALCI</v>
      </c>
      <c r="D316" s="5" t="str">
        <f>Transferencia!D316</f>
        <v>alexfalci@hotmail.com</v>
      </c>
      <c r="E316" s="5" t="str">
        <f>Transferencia!G316</f>
        <v>5531996466682</v>
      </c>
      <c r="F316" s="5" t="str">
        <f>Transferencia!H316</f>
        <v xml:space="preserve">e-CNPJ A1 - PME </v>
      </c>
      <c r="G316" s="6" t="str">
        <f>Transferencia!J316</f>
        <v>Ponto de Atendimento AR Certifast - Prado BH/MG</v>
      </c>
      <c r="H316" s="4" t="str">
        <f>VLOOKUP(G316,Página1!G:L,6,0)</f>
        <v>Isabella</v>
      </c>
      <c r="I316" s="4" t="s">
        <v>16</v>
      </c>
      <c r="J316" s="5" t="str">
        <f>Transferencia!L316</f>
        <v>071.579.176-10</v>
      </c>
      <c r="K316" s="5" t="str">
        <f>Transferencia!M316</f>
        <v>32.795.782/0001-99</v>
      </c>
      <c r="L316" s="5" t="s">
        <v>266</v>
      </c>
    </row>
    <row r="317" spans="1:12" ht="15.75" customHeight="1">
      <c r="A317" s="5" t="str">
        <f>Transferencia!A317</f>
        <v>23051877</v>
      </c>
      <c r="B317" s="5" t="str">
        <f>Transferencia!B317</f>
        <v>21/02/2025</v>
      </c>
      <c r="C317" s="5" t="str">
        <f>Transferencia!C317</f>
        <v>CRISTIANO ALVES FERREIRA</v>
      </c>
      <c r="D317" s="5" t="str">
        <f>Transferencia!D317</f>
        <v>cristiano@comottec.com.br</v>
      </c>
      <c r="E317" s="5" t="str">
        <f>Transferencia!G317</f>
        <v>5511984900877</v>
      </c>
      <c r="F317" s="5" t="str">
        <f>Transferencia!H317</f>
        <v xml:space="preserve">e-CPF A1 - 1 ano </v>
      </c>
      <c r="G317" s="6" t="str">
        <f>Transferencia!J317</f>
        <v>AR Certifast</v>
      </c>
      <c r="H317" s="4" t="str">
        <f>VLOOKUP(G317,Página1!G:L,6,0)</f>
        <v>Alexandre</v>
      </c>
      <c r="I317" s="4" t="s">
        <v>16</v>
      </c>
      <c r="J317" s="5" t="str">
        <f>Transferencia!L317</f>
        <v>269.431.378-75</v>
      </c>
      <c r="K317" s="5" t="str">
        <f>Transferencia!M317</f>
        <v/>
      </c>
      <c r="L317" s="5"/>
    </row>
    <row r="318" spans="1:12" ht="15.75" customHeight="1">
      <c r="A318" s="5" t="str">
        <f>Transferencia!A318</f>
        <v>23062658</v>
      </c>
      <c r="B318" s="5" t="str">
        <f>Transferencia!B318</f>
        <v>21/02/2025</v>
      </c>
      <c r="C318" s="5" t="str">
        <f>Transferencia!C318</f>
        <v>FERNANDO DONISETE DE JESUS FERREIRA</v>
      </c>
      <c r="D318" s="5" t="str">
        <f>Transferencia!D318</f>
        <v>nandojc12@gmail.com</v>
      </c>
      <c r="E318" s="5" t="str">
        <f>Transferencia!G318</f>
        <v>5511994456734</v>
      </c>
      <c r="F318" s="5" t="str">
        <f>Transferencia!H318</f>
        <v xml:space="preserve">e-CNPJ A1 - 1 ano </v>
      </c>
      <c r="G318" s="6" t="str">
        <f>Transferencia!J318</f>
        <v>AR Certifast</v>
      </c>
      <c r="H318" s="4" t="str">
        <f>VLOOKUP(G318,Página1!G:L,6,0)</f>
        <v>Alexandre</v>
      </c>
      <c r="I318" s="4" t="s">
        <v>16</v>
      </c>
      <c r="J318" s="5" t="str">
        <f>Transferencia!L318</f>
        <v>282.222.918-07</v>
      </c>
      <c r="K318" s="5" t="str">
        <f>Transferencia!M318</f>
        <v>11.975.101/0001-02</v>
      </c>
      <c r="L318" s="5"/>
    </row>
    <row r="319" spans="1:12" ht="15.75" customHeight="1">
      <c r="A319" s="5" t="str">
        <f>Transferencia!A319</f>
        <v>23068652</v>
      </c>
      <c r="B319" s="5" t="str">
        <f>Transferencia!B319</f>
        <v>21/02/2025</v>
      </c>
      <c r="C319" s="5" t="str">
        <f>Transferencia!C319</f>
        <v>RONEMARCOS JUNIO LOPES DOS SANTOS</v>
      </c>
      <c r="D319" s="5" t="str">
        <f>Transferencia!D319</f>
        <v>ronelopes05@icloud.com</v>
      </c>
      <c r="E319" s="5" t="str">
        <f>Transferencia!G319</f>
        <v>5512974038487</v>
      </c>
      <c r="F319" s="5" t="str">
        <f>Transferencia!H319</f>
        <v xml:space="preserve">e-CNPJ A1 - PME </v>
      </c>
      <c r="G319" s="6" t="str">
        <f>Transferencia!J319</f>
        <v>PONTO DE ATENDIMENTO AR CERTIFAST - ANDROMEDA/SP</v>
      </c>
      <c r="H319" s="4" t="str">
        <f>VLOOKUP(G319,Página1!G:L,6,0)</f>
        <v>Rogério</v>
      </c>
      <c r="I319" s="4" t="s">
        <v>16</v>
      </c>
      <c r="J319" s="5" t="str">
        <f>Transferencia!L319</f>
        <v>332.476.478-56</v>
      </c>
      <c r="K319" s="5" t="str">
        <f>Transferencia!M319</f>
        <v>17.434.098/0001-98</v>
      </c>
      <c r="L319" s="5" t="s">
        <v>267</v>
      </c>
    </row>
    <row r="320" spans="1:12" ht="15.75" customHeight="1">
      <c r="A320" s="5" t="str">
        <f>Transferencia!A320</f>
        <v>23077847</v>
      </c>
      <c r="B320" s="5" t="str">
        <f>Transferencia!B320</f>
        <v>21/02/2025</v>
      </c>
      <c r="C320" s="5" t="str">
        <f>Transferencia!C320</f>
        <v>FERNANDO HENRIQUE BRITO DOS REIS</v>
      </c>
      <c r="D320" s="5" t="str">
        <f>Transferencia!D320</f>
        <v>financeiro@baumfe.com.br</v>
      </c>
      <c r="E320" s="5" t="str">
        <f>Transferencia!G320</f>
        <v>5511973844385</v>
      </c>
      <c r="F320" s="5" t="str">
        <f>Transferencia!H320</f>
        <v xml:space="preserve">e-CNPJ A1 - 1 ano </v>
      </c>
      <c r="G320" s="6" t="str">
        <f>Transferencia!J320</f>
        <v>Ponto de Atendimento AR Certifast - Maua Centro/SP</v>
      </c>
      <c r="H320" s="4" t="str">
        <f>VLOOKUP(G320,Página1!G:L,6,0)</f>
        <v>Ingrid</v>
      </c>
      <c r="I320" s="4" t="s">
        <v>16</v>
      </c>
      <c r="J320" s="5" t="str">
        <f>Transferencia!L320</f>
        <v>220.245.618-02</v>
      </c>
      <c r="K320" s="5" t="str">
        <f>Transferencia!M320</f>
        <v>32.219.783/0001-95</v>
      </c>
      <c r="L320" s="5"/>
    </row>
    <row r="321" spans="1:12" ht="15.75" customHeight="1">
      <c r="A321" s="5" t="str">
        <f>Transferencia!A321</f>
        <v>23079751</v>
      </c>
      <c r="B321" s="5" t="str">
        <f>Transferencia!B321</f>
        <v>21/02/2025</v>
      </c>
      <c r="C321" s="5" t="str">
        <f>Transferencia!C321</f>
        <v>YADNY ARIEL MARTINS</v>
      </c>
      <c r="D321" s="5" t="str">
        <f>Transferencia!D321</f>
        <v>brenda.bulgarelli@biocontabil.com.br</v>
      </c>
      <c r="E321" s="5" t="str">
        <f>Transferencia!G321</f>
        <v>5511960480705</v>
      </c>
      <c r="F321" s="5" t="str">
        <f>Transferencia!H321</f>
        <v xml:space="preserve">e-CNPJ A1 - PME </v>
      </c>
      <c r="G321" s="6" t="str">
        <f>Transferencia!J321</f>
        <v>PONTO DE ATENDIMENTO AR CERTIFAST - ANDROMEDA/SP</v>
      </c>
      <c r="H321" s="4" t="str">
        <f>VLOOKUP(G321,Página1!G:L,6,0)</f>
        <v>Rogério</v>
      </c>
      <c r="I321" s="4" t="s">
        <v>16</v>
      </c>
      <c r="J321" s="5" t="str">
        <f>Transferencia!L321</f>
        <v>426.121.098-38</v>
      </c>
      <c r="K321" s="5" t="str">
        <f>Transferencia!M321</f>
        <v>42.996.804/0001-32</v>
      </c>
      <c r="L321" s="5" t="s">
        <v>268</v>
      </c>
    </row>
    <row r="322" spans="1:12" ht="15.75" customHeight="1">
      <c r="A322" s="5" t="str">
        <f>Transferencia!A322</f>
        <v>23085867</v>
      </c>
      <c r="B322" s="5" t="str">
        <f>Transferencia!B322</f>
        <v>21/02/2025</v>
      </c>
      <c r="C322" s="5" t="str">
        <f>Transferencia!C322</f>
        <v>GUILHERME MACIEL FIGUEIREDO</v>
      </c>
      <c r="D322" s="5" t="str">
        <f>Transferencia!D322</f>
        <v>financeiro@organicodochico.com.br</v>
      </c>
      <c r="E322" s="5" t="str">
        <f>Transferencia!G322</f>
        <v>5531999294623</v>
      </c>
      <c r="F322" s="5" t="str">
        <f>Transferencia!H322</f>
        <v xml:space="preserve">e-CNPJ A1 - 1 ano </v>
      </c>
      <c r="G322" s="6" t="str">
        <f>Transferencia!J322</f>
        <v>Ponto de Atendimento AR Certifast - Prado BH/MG</v>
      </c>
      <c r="H322" s="4" t="str">
        <f>VLOOKUP(G322,Página1!G:L,6,0)</f>
        <v>Isabella</v>
      </c>
      <c r="I322" s="4" t="s">
        <v>16</v>
      </c>
      <c r="J322" s="5" t="str">
        <f>Transferencia!L322</f>
        <v>123.802.716-40</v>
      </c>
      <c r="K322" s="5" t="str">
        <f>Transferencia!M322</f>
        <v>26.409.584/0001-47</v>
      </c>
      <c r="L322" s="5" t="s">
        <v>269</v>
      </c>
    </row>
    <row r="323" spans="1:12" ht="15.75" customHeight="1">
      <c r="A323" s="5" t="str">
        <f>Transferencia!A323</f>
        <v>23087057</v>
      </c>
      <c r="B323" s="5" t="str">
        <f>Transferencia!B323</f>
        <v>21/02/2025</v>
      </c>
      <c r="C323" s="5" t="str">
        <f>Transferencia!C323</f>
        <v>JULIA TAMI SAKUMOTO</v>
      </c>
      <c r="D323" s="5" t="str">
        <f>Transferencia!D323</f>
        <v>contabilidade@afccontabilsjc.com.br</v>
      </c>
      <c r="E323" s="5" t="str">
        <f>Transferencia!G323</f>
        <v>5512997167000</v>
      </c>
      <c r="F323" s="5" t="str">
        <f>Transferencia!H323</f>
        <v xml:space="preserve">e-CNPJ A1 - PME </v>
      </c>
      <c r="G323" s="6" t="str">
        <f>Transferencia!J323</f>
        <v>PONTO DE ATENDIMENTO AR CERTIFAST - ANDROMEDA/SP</v>
      </c>
      <c r="H323" s="4" t="str">
        <f>VLOOKUP(G323,Página1!G:L,6,0)</f>
        <v>Rogério</v>
      </c>
      <c r="I323" s="4" t="s">
        <v>16</v>
      </c>
      <c r="J323" s="5" t="str">
        <f>Transferencia!L323</f>
        <v>346.817.378-44</v>
      </c>
      <c r="K323" s="5" t="str">
        <f>Transferencia!M323</f>
        <v>53.876.730/0001-17</v>
      </c>
      <c r="L323" s="5"/>
    </row>
    <row r="324" spans="1:12" ht="15.75" customHeight="1">
      <c r="A324" s="5" t="str">
        <f>Transferencia!A324</f>
        <v>23104100</v>
      </c>
      <c r="B324" s="5" t="str">
        <f>Transferencia!B324</f>
        <v>21/02/2025</v>
      </c>
      <c r="C324" s="5" t="str">
        <f>Transferencia!C324</f>
        <v>VANILUCIE MODA GUIMARAES DOS SANTOS</v>
      </c>
      <c r="D324" s="5" t="str">
        <f>Transferencia!D324</f>
        <v>marcenaria.rtwood@gmail.com</v>
      </c>
      <c r="E324" s="5" t="str">
        <f>Transferencia!G324</f>
        <v>5511965993832</v>
      </c>
      <c r="F324" s="5" t="str">
        <f>Transferencia!H324</f>
        <v xml:space="preserve">e-CNPJ A1 - 1 ano </v>
      </c>
      <c r="G324" s="6" t="str">
        <f>Transferencia!J324</f>
        <v>Ponto de Atendimento AR Certifast - Maua Centro/SP</v>
      </c>
      <c r="H324" s="4" t="str">
        <f>VLOOKUP(G324,Página1!G:L,6,0)</f>
        <v>Ingrid</v>
      </c>
      <c r="I324" s="4" t="s">
        <v>16</v>
      </c>
      <c r="J324" s="5" t="str">
        <f>Transferencia!L324</f>
        <v>361.410.058-88</v>
      </c>
      <c r="K324" s="5" t="str">
        <f>Transferencia!M324</f>
        <v>54.002.600/0001-18</v>
      </c>
      <c r="L324" s="5" t="s">
        <v>270</v>
      </c>
    </row>
    <row r="325" spans="1:12" ht="15.75" customHeight="1">
      <c r="A325" s="5" t="str">
        <f>Transferencia!A325</f>
        <v>23104445</v>
      </c>
      <c r="B325" s="5" t="str">
        <f>Transferencia!B325</f>
        <v>21/02/2025</v>
      </c>
      <c r="C325" s="5" t="str">
        <f>Transferencia!C325</f>
        <v>FELIPE FERREIRA CAETANO</v>
      </c>
      <c r="D325" s="5" t="str">
        <f>Transferencia!D325</f>
        <v>fecae95@gmail.com</v>
      </c>
      <c r="E325" s="5" t="str">
        <f>Transferencia!G325</f>
        <v>5512997941712</v>
      </c>
      <c r="F325" s="5" t="str">
        <f>Transferencia!H325</f>
        <v xml:space="preserve">e-CPF A1 - 1 ano </v>
      </c>
      <c r="G325" s="6" t="str">
        <f>Transferencia!J325</f>
        <v>PONTO DE ATENDIMENTO AR CERTIFAST - ANDROMEDA/SP</v>
      </c>
      <c r="H325" s="4" t="str">
        <f>VLOOKUP(G325,Página1!G:L,6,0)</f>
        <v>Rogério</v>
      </c>
      <c r="I325" s="4" t="s">
        <v>16</v>
      </c>
      <c r="J325" s="5" t="str">
        <f>Transferencia!L325</f>
        <v>419.447.668-98</v>
      </c>
      <c r="K325" s="5" t="str">
        <f>Transferencia!M325</f>
        <v/>
      </c>
      <c r="L325" s="5" t="s">
        <v>271</v>
      </c>
    </row>
    <row r="326" spans="1:12" ht="15.75" customHeight="1">
      <c r="A326" s="5" t="str">
        <f>Transferencia!A326</f>
        <v>23105804</v>
      </c>
      <c r="B326" s="5" t="str">
        <f>Transferencia!B326</f>
        <v>21/02/2025</v>
      </c>
      <c r="C326" s="5" t="str">
        <f>Transferencia!C326</f>
        <v>KARINA DE SOUSA MACHADO</v>
      </c>
      <c r="D326" s="5" t="str">
        <f>Transferencia!D326</f>
        <v>pelelindastore@gmail.com</v>
      </c>
      <c r="E326" s="5" t="str">
        <f>Transferencia!G326</f>
        <v>5511968419959</v>
      </c>
      <c r="F326" s="5" t="str">
        <f>Transferencia!H326</f>
        <v xml:space="preserve">e-CNPJ A1 - 1 ano </v>
      </c>
      <c r="G326" s="6" t="str">
        <f>Transferencia!J326</f>
        <v>Ponto de Atendimento AR Certifast - Maua Centro/SP</v>
      </c>
      <c r="H326" s="4" t="str">
        <f>VLOOKUP(G326,Página1!G:L,6,0)</f>
        <v>Ingrid</v>
      </c>
      <c r="I326" s="4" t="s">
        <v>16</v>
      </c>
      <c r="J326" s="5" t="str">
        <f>Transferencia!L326</f>
        <v>334.203.398-36</v>
      </c>
      <c r="K326" s="5" t="str">
        <f>Transferencia!M326</f>
        <v>28.455.009/0001-06</v>
      </c>
      <c r="L326" s="5" t="s">
        <v>272</v>
      </c>
    </row>
    <row r="327" spans="1:12" ht="15.75" customHeight="1">
      <c r="A327" s="5" t="str">
        <f>Transferencia!A327</f>
        <v>23106546</v>
      </c>
      <c r="B327" s="5" t="str">
        <f>Transferencia!B327</f>
        <v>21/02/2025</v>
      </c>
      <c r="C327" s="5" t="str">
        <f>Transferencia!C327</f>
        <v>JORGE DOS SANTOS FERNANDES</v>
      </c>
      <c r="D327" s="5" t="str">
        <f>Transferencia!D327</f>
        <v>contabil.lima@gmail.com</v>
      </c>
      <c r="E327" s="5" t="str">
        <f>Transferencia!G327</f>
        <v>5512997493489</v>
      </c>
      <c r="F327" s="5" t="str">
        <f>Transferencia!H327</f>
        <v xml:space="preserve">e-CNPJ A1 - PME </v>
      </c>
      <c r="G327" s="6" t="str">
        <f>Transferencia!J327</f>
        <v>PONTO DE ATENDIMENTO AR CERTIFAST - ANDROMEDA/SP</v>
      </c>
      <c r="H327" s="4" t="str">
        <f>VLOOKUP(G327,Página1!G:L,6,0)</f>
        <v>Rogério</v>
      </c>
      <c r="I327" s="4" t="s">
        <v>16</v>
      </c>
      <c r="J327" s="5" t="str">
        <f>Transferencia!L327</f>
        <v>962.235.885-34</v>
      </c>
      <c r="K327" s="5" t="str">
        <f>Transferencia!M327</f>
        <v>40.590.237/0001-94</v>
      </c>
      <c r="L327" s="5" t="s">
        <v>273</v>
      </c>
    </row>
    <row r="328" spans="1:12" ht="15.75" customHeight="1">
      <c r="A328" s="5" t="str">
        <f>Transferencia!A328</f>
        <v>23106547</v>
      </c>
      <c r="B328" s="5" t="str">
        <f>Transferencia!B328</f>
        <v>21/02/2025</v>
      </c>
      <c r="C328" s="5" t="str">
        <f>Transferencia!C328</f>
        <v>ROBSON EUSTAQUIO MESSIAS</v>
      </c>
      <c r="D328" s="5" t="str">
        <f>Transferencia!D328</f>
        <v>robsoneustaquio@hotmail.com</v>
      </c>
      <c r="E328" s="5" t="str">
        <f>Transferencia!G328</f>
        <v>5512981588133</v>
      </c>
      <c r="F328" s="5" t="str">
        <f>Transferencia!H328</f>
        <v xml:space="preserve">e-CNPJ A1 - PME </v>
      </c>
      <c r="G328" s="6" t="str">
        <f>Transferencia!J328</f>
        <v>PONTO DE ATENDIMENTO AR CERTIFAST - ANDROMEDA/SP</v>
      </c>
      <c r="H328" s="4" t="str">
        <f>VLOOKUP(G328,Página1!G:L,6,0)</f>
        <v>Rogério</v>
      </c>
      <c r="I328" s="4" t="s">
        <v>16</v>
      </c>
      <c r="J328" s="5" t="str">
        <f>Transferencia!L328</f>
        <v>288.505.258-93</v>
      </c>
      <c r="K328" s="5" t="str">
        <f>Transferencia!M328</f>
        <v>21.542.947/0001-02</v>
      </c>
      <c r="L328" s="5" t="s">
        <v>274</v>
      </c>
    </row>
    <row r="329" spans="1:12" ht="15.75" customHeight="1">
      <c r="A329" s="5" t="str">
        <f>Transferencia!A329</f>
        <v>20111350</v>
      </c>
      <c r="B329" s="5" t="str">
        <f>Transferencia!B329</f>
        <v>22/02/2025</v>
      </c>
      <c r="C329" s="5" t="str">
        <f>Transferencia!C329</f>
        <v>FABIO DETLINGER</v>
      </c>
      <c r="D329" s="5" t="str">
        <f>Transferencia!D329</f>
        <v>FABIO@MPOW.COM.BR</v>
      </c>
      <c r="E329" s="5" t="str">
        <f>Transferencia!G329</f>
        <v>5511982226071</v>
      </c>
      <c r="F329" s="5" t="str">
        <f>Transferencia!H329</f>
        <v xml:space="preserve">e-CNPJ A3 - 3 anos </v>
      </c>
      <c r="G329" s="6" t="str">
        <f>Transferencia!J329</f>
        <v>Ponto de Atendimento AR Certifast - Pauliceia/SP</v>
      </c>
      <c r="H329" s="4" t="str">
        <f>VLOOKUP(G329,Página1!G:L,6,0)</f>
        <v>Alexandre</v>
      </c>
      <c r="I329" s="4" t="s">
        <v>16</v>
      </c>
      <c r="J329" s="5" t="str">
        <f>Transferencia!L329</f>
        <v>105.334.158-02</v>
      </c>
      <c r="K329" s="5" t="str">
        <f>Transferencia!M329</f>
        <v>96.385.711/0001-09</v>
      </c>
      <c r="L329" s="5" t="s">
        <v>275</v>
      </c>
    </row>
    <row r="330" spans="1:12" ht="15.75" customHeight="1">
      <c r="A330" s="5" t="str">
        <f>Transferencia!A330</f>
        <v>20120123</v>
      </c>
      <c r="B330" s="5" t="str">
        <f>Transferencia!B330</f>
        <v>22/02/2025</v>
      </c>
      <c r="C330" s="5" t="str">
        <f>Transferencia!C330</f>
        <v>MARIA CRISTINA FERREIRA DA COSTA</v>
      </c>
      <c r="D330" s="5" t="str">
        <f>Transferencia!D330</f>
        <v>cristinacosta.adv@terra.com.br</v>
      </c>
      <c r="E330" s="5" t="str">
        <f>Transferencia!G330</f>
        <v>558599794418</v>
      </c>
      <c r="F330" s="5" t="str">
        <f>Transferencia!H330</f>
        <v xml:space="preserve">e-CPF A3 - 3 anos </v>
      </c>
      <c r="G330" s="6" t="str">
        <f>Transferencia!J330</f>
        <v>Ponto de Atendimento AR Certifast - Jundiai Centro/SP</v>
      </c>
      <c r="H330" s="4" t="str">
        <f>VLOOKUP(G330,Página1!G:L,6,0)</f>
        <v>Alexandre</v>
      </c>
      <c r="I330" s="4" t="s">
        <v>16</v>
      </c>
      <c r="J330" s="5" t="str">
        <f>Transferencia!L330</f>
        <v>183.754.138-87</v>
      </c>
      <c r="K330" s="5" t="str">
        <f>Transferencia!M330</f>
        <v/>
      </c>
      <c r="L330" s="5" t="s">
        <v>276</v>
      </c>
    </row>
    <row r="331" spans="1:12" ht="15.75" customHeight="1">
      <c r="A331" s="5" t="str">
        <f>Transferencia!A331</f>
        <v>20137090</v>
      </c>
      <c r="B331" s="5" t="str">
        <f>Transferencia!B331</f>
        <v>22/02/2025</v>
      </c>
      <c r="C331" s="5" t="str">
        <f>Transferencia!C331</f>
        <v>JANUARIO SPISLA</v>
      </c>
      <c r="D331" s="5" t="str">
        <f>Transferencia!D331</f>
        <v>jakaspi@gmail.com</v>
      </c>
      <c r="E331" s="5" t="str">
        <f>Transferencia!G331</f>
        <v>5531988844026</v>
      </c>
      <c r="F331" s="5" t="str">
        <f>Transferencia!H331</f>
        <v xml:space="preserve">e-CPF A3 - 3 anos </v>
      </c>
      <c r="G331" s="6" t="str">
        <f>Transferencia!J331</f>
        <v>Ponto de Atendimento AR Certifast - Prado BH/MG</v>
      </c>
      <c r="H331" s="4" t="str">
        <f>VLOOKUP(G331,Página1!G:L,6,0)</f>
        <v>Isabella</v>
      </c>
      <c r="I331" s="4" t="s">
        <v>16</v>
      </c>
      <c r="J331" s="5" t="str">
        <f>Transferencia!L331</f>
        <v>500.286.859-20</v>
      </c>
      <c r="K331" s="5" t="str">
        <f>Transferencia!M331</f>
        <v/>
      </c>
      <c r="L331" s="5"/>
    </row>
    <row r="332" spans="1:12" ht="15.75" customHeight="1">
      <c r="A332" s="5" t="str">
        <f>Transferencia!A332</f>
        <v>23020603</v>
      </c>
      <c r="B332" s="5" t="str">
        <f>Transferencia!B332</f>
        <v>22/02/2025</v>
      </c>
      <c r="C332" s="5" t="str">
        <f>Transferencia!C332</f>
        <v>ARLENE BALAGUE TRALLERO DE OLIVEIRA</v>
      </c>
      <c r="D332" s="5" t="str">
        <f>Transferencia!D332</f>
        <v>arlenebto@gmail.com</v>
      </c>
      <c r="E332" s="5" t="str">
        <f>Transferencia!G332</f>
        <v>5512997140979</v>
      </c>
      <c r="F332" s="5" t="str">
        <f>Transferencia!H332</f>
        <v xml:space="preserve">e-CNPJ A1 - PME </v>
      </c>
      <c r="G332" s="6" t="str">
        <f>Transferencia!J332</f>
        <v>PONTO DE ATENDIMENTO AR CERTIFAST - ANDROMEDA/SP</v>
      </c>
      <c r="H332" s="4" t="str">
        <f>VLOOKUP(G332,Página1!G:L,6,0)</f>
        <v>Rogério</v>
      </c>
      <c r="I332" s="4" t="s">
        <v>16</v>
      </c>
      <c r="J332" s="5" t="str">
        <f>Transferencia!L332</f>
        <v>369.943.677-20</v>
      </c>
      <c r="K332" s="5" t="str">
        <f>Transferencia!M332</f>
        <v>18.102.136/0001-78</v>
      </c>
      <c r="L332" s="5" t="s">
        <v>277</v>
      </c>
    </row>
    <row r="333" spans="1:12" ht="15.75" customHeight="1">
      <c r="A333" s="5" t="str">
        <f>Transferencia!A333</f>
        <v>23064420</v>
      </c>
      <c r="B333" s="5" t="str">
        <f>Transferencia!B333</f>
        <v>22/02/2025</v>
      </c>
      <c r="C333" s="5" t="str">
        <f>Transferencia!C333</f>
        <v>DANIELLE CLOUZET DE ROMAN</v>
      </c>
      <c r="D333" s="5" t="str">
        <f>Transferencia!D333</f>
        <v>danila@interamericanetwork.com</v>
      </c>
      <c r="E333" s="5" t="str">
        <f>Transferencia!G333</f>
        <v>55</v>
      </c>
      <c r="F333" s="5" t="str">
        <f>Transferencia!H333</f>
        <v xml:space="preserve">e-CNPJ A1 - 1 ano </v>
      </c>
      <c r="G333" s="6" t="str">
        <f>Transferencia!J333</f>
        <v>Ponto de Atendimento AR Certifast - Maua Centro/SP</v>
      </c>
      <c r="H333" s="4" t="str">
        <f>VLOOKUP(G333,Página1!G:L,6,0)</f>
        <v>Ingrid</v>
      </c>
      <c r="I333" s="4" t="s">
        <v>16</v>
      </c>
      <c r="J333" s="5" t="str">
        <f>Transferencia!L333</f>
        <v>129.361.768-75</v>
      </c>
      <c r="K333" s="5" t="str">
        <f>Transferencia!M333</f>
        <v>40.180.365/0001-60</v>
      </c>
      <c r="L333" s="5" t="s">
        <v>278</v>
      </c>
    </row>
    <row r="334" spans="1:12" ht="15.75" customHeight="1">
      <c r="A334" s="5" t="str">
        <f>Transferencia!A334</f>
        <v>23072058</v>
      </c>
      <c r="B334" s="5" t="str">
        <f>Transferencia!B334</f>
        <v>22/02/2025</v>
      </c>
      <c r="C334" s="5" t="str">
        <f>Transferencia!C334</f>
        <v>JULIO CESAR GOMES CARDOSO</v>
      </c>
      <c r="D334" s="5" t="str">
        <f>Transferencia!D334</f>
        <v>padariacafedamanha@hotmail.com</v>
      </c>
      <c r="E334" s="5" t="str">
        <f>Transferencia!G334</f>
        <v>5531997574555</v>
      </c>
      <c r="F334" s="5" t="str">
        <f>Transferencia!H334</f>
        <v xml:space="preserve">e-CNPJ A1 - PME </v>
      </c>
      <c r="G334" s="6" t="str">
        <f>Transferencia!J334</f>
        <v>Ponto de Atendimento AR Certifast - Prado BH/MG</v>
      </c>
      <c r="H334" s="4" t="str">
        <f>VLOOKUP(G334,Página1!G:L,6,0)</f>
        <v>Isabella</v>
      </c>
      <c r="I334" s="4" t="s">
        <v>16</v>
      </c>
      <c r="J334" s="5" t="str">
        <f>Transferencia!L334</f>
        <v>083.715.456-14</v>
      </c>
      <c r="K334" s="5" t="str">
        <f>Transferencia!M334</f>
        <v>24.775.252/0001-50</v>
      </c>
      <c r="L334" s="5" t="s">
        <v>279</v>
      </c>
    </row>
    <row r="335" spans="1:12" ht="15.75" customHeight="1">
      <c r="A335" s="5" t="str">
        <f>Transferencia!A335</f>
        <v>23086470</v>
      </c>
      <c r="B335" s="5" t="str">
        <f>Transferencia!B335</f>
        <v>22/02/2025</v>
      </c>
      <c r="C335" s="5" t="str">
        <f>Transferencia!C335</f>
        <v>HEBERTH GONCALVES DIAS</v>
      </c>
      <c r="D335" s="5" t="str">
        <f>Transferencia!D335</f>
        <v>eduardo.goncalves@gdlivros.com.br</v>
      </c>
      <c r="E335" s="5" t="str">
        <f>Transferencia!G335</f>
        <v>5531998624686</v>
      </c>
      <c r="F335" s="5" t="str">
        <f>Transferencia!H335</f>
        <v xml:space="preserve">e-CPF A1 - 1 ano </v>
      </c>
      <c r="G335" s="6" t="str">
        <f>Transferencia!J335</f>
        <v>Ponto de Atendimento AR Certifast - Prado BH/MG</v>
      </c>
      <c r="H335" s="4" t="str">
        <f>VLOOKUP(G335,Página1!G:L,6,0)</f>
        <v>Isabella</v>
      </c>
      <c r="I335" s="4" t="s">
        <v>16</v>
      </c>
      <c r="J335" s="5" t="str">
        <f>Transferencia!L335</f>
        <v>972.339.941-53</v>
      </c>
      <c r="K335" s="5" t="str">
        <f>Transferencia!M335</f>
        <v/>
      </c>
      <c r="L335" s="5" t="s">
        <v>280</v>
      </c>
    </row>
    <row r="336" spans="1:12" ht="15.75" customHeight="1">
      <c r="A336" s="5" t="str">
        <f>Transferencia!A336</f>
        <v>23089590</v>
      </c>
      <c r="B336" s="5" t="str">
        <f>Transferencia!B336</f>
        <v>22/02/2025</v>
      </c>
      <c r="C336" s="5" t="str">
        <f>Transferencia!C336</f>
        <v>MARGARIDA SOLANGE DE PAULA</v>
      </c>
      <c r="D336" s="5" t="str">
        <f>Transferencia!D336</f>
        <v>comercial@plumaterceirizacao.com.br</v>
      </c>
      <c r="E336" s="5" t="str">
        <f>Transferencia!G336</f>
        <v>5531983995256</v>
      </c>
      <c r="F336" s="5" t="str">
        <f>Transferencia!H336</f>
        <v xml:space="preserve">e-CNPJ A1 - 1 ano </v>
      </c>
      <c r="G336" s="6" t="str">
        <f>Transferencia!J336</f>
        <v>Ponto de Atendimento AR Certifast - Prado BH/MG</v>
      </c>
      <c r="H336" s="4" t="str">
        <f>VLOOKUP(G336,Página1!G:L,6,0)</f>
        <v>Isabella</v>
      </c>
      <c r="I336" s="4" t="s">
        <v>16</v>
      </c>
      <c r="J336" s="5" t="str">
        <f>Transferencia!L336</f>
        <v>670.907.968-68</v>
      </c>
      <c r="K336" s="5" t="str">
        <f>Transferencia!M336</f>
        <v>13.668.695/0001-26</v>
      </c>
      <c r="L336" s="5" t="s">
        <v>281</v>
      </c>
    </row>
    <row r="337" spans="1:12" ht="15.75" customHeight="1">
      <c r="A337" s="5" t="str">
        <f>Transferencia!A337</f>
        <v>23090979</v>
      </c>
      <c r="B337" s="5" t="str">
        <f>Transferencia!B337</f>
        <v>22/02/2025</v>
      </c>
      <c r="C337" s="5" t="str">
        <f>Transferencia!C337</f>
        <v>LAIS PIRES LEAL BACELAR</v>
      </c>
      <c r="D337" s="5" t="str">
        <f>Transferencia!D337</f>
        <v>contabilidadeligavale@gmail.com</v>
      </c>
      <c r="E337" s="5" t="str">
        <f>Transferencia!G337</f>
        <v>5512988891002</v>
      </c>
      <c r="F337" s="5" t="str">
        <f>Transferencia!H337</f>
        <v xml:space="preserve">e-CNPJ A1 - 1 ano </v>
      </c>
      <c r="G337" s="6" t="str">
        <f>Transferencia!J337</f>
        <v>PONTO DE ATENDIMENTO AR CERTIFAST - ANDROMEDA/SP</v>
      </c>
      <c r="H337" s="4" t="str">
        <f>VLOOKUP(G337,Página1!G:L,6,0)</f>
        <v>Rogério</v>
      </c>
      <c r="I337" s="4" t="s">
        <v>16</v>
      </c>
      <c r="J337" s="5" t="str">
        <f>Transferencia!L337</f>
        <v>602.666.033-00</v>
      </c>
      <c r="K337" s="5" t="str">
        <f>Transferencia!M337</f>
        <v>14.357.855/0001-89</v>
      </c>
      <c r="L337" s="5"/>
    </row>
    <row r="338" spans="1:12" ht="15.75" customHeight="1">
      <c r="A338" s="5" t="str">
        <f>Transferencia!A338</f>
        <v>23091014</v>
      </c>
      <c r="B338" s="5" t="str">
        <f>Transferencia!B338</f>
        <v>22/02/2025</v>
      </c>
      <c r="C338" s="5" t="str">
        <f>Transferencia!C338</f>
        <v>THAIS MILENE DOS SANTOS SERENCH</v>
      </c>
      <c r="D338" s="5" t="str">
        <f>Transferencia!D338</f>
        <v>nfe@fleventos.com.br</v>
      </c>
      <c r="E338" s="5" t="str">
        <f>Transferencia!G338</f>
        <v>5512974034326</v>
      </c>
      <c r="F338" s="5" t="str">
        <f>Transferencia!H338</f>
        <v xml:space="preserve">e-CNPJ A1 - PME </v>
      </c>
      <c r="G338" s="6" t="str">
        <f>Transferencia!J338</f>
        <v>PONTO DE ATENDIMENTO AR CERTIFAST - ANDROMEDA/SP</v>
      </c>
      <c r="H338" s="4" t="str">
        <f>VLOOKUP(G338,Página1!G:L,6,0)</f>
        <v>Rogério</v>
      </c>
      <c r="I338" s="4" t="s">
        <v>16</v>
      </c>
      <c r="J338" s="5" t="str">
        <f>Transferencia!L338</f>
        <v>337.312.448-45</v>
      </c>
      <c r="K338" s="5" t="str">
        <f>Transferencia!M338</f>
        <v>20.156.561/0001-91</v>
      </c>
      <c r="L338" s="5"/>
    </row>
    <row r="339" spans="1:12" ht="15.75" customHeight="1">
      <c r="A339" s="5" t="str">
        <f>Transferencia!A339</f>
        <v>23091015</v>
      </c>
      <c r="B339" s="5" t="str">
        <f>Transferencia!B339</f>
        <v>22/02/2025</v>
      </c>
      <c r="C339" s="5" t="str">
        <f>Transferencia!C339</f>
        <v>THAIS MILENE DOS SANTOS SERENCH</v>
      </c>
      <c r="D339" s="5" t="str">
        <f>Transferencia!D339</f>
        <v>nfe@fleventos.com.br</v>
      </c>
      <c r="E339" s="5" t="str">
        <f>Transferencia!G339</f>
        <v>5512974034326</v>
      </c>
      <c r="F339" s="5" t="str">
        <f>Transferencia!H339</f>
        <v xml:space="preserve">e-CPF A1 - 1 ano </v>
      </c>
      <c r="G339" s="6" t="str">
        <f>Transferencia!J339</f>
        <v>PONTO DE ATENDIMENTO AR CERTIFAST - ANDROMEDA/SP</v>
      </c>
      <c r="H339" s="4" t="str">
        <f>VLOOKUP(G339,Página1!G:L,6,0)</f>
        <v>Rogério</v>
      </c>
      <c r="I339" s="4" t="s">
        <v>16</v>
      </c>
      <c r="J339" s="5" t="str">
        <f>Transferencia!L339</f>
        <v>337.312.448-45</v>
      </c>
      <c r="K339" s="5" t="str">
        <f>Transferencia!M339</f>
        <v/>
      </c>
      <c r="L339" s="5" t="s">
        <v>282</v>
      </c>
    </row>
    <row r="340" spans="1:12" ht="15.75" customHeight="1">
      <c r="A340" s="5" t="str">
        <f>Transferencia!A340</f>
        <v>23094250</v>
      </c>
      <c r="B340" s="5" t="str">
        <f>Transferencia!B340</f>
        <v>22/02/2025</v>
      </c>
      <c r="C340" s="5" t="str">
        <f>Transferencia!C340</f>
        <v>PAULO SOUSA DE ARAUJO</v>
      </c>
      <c r="D340" s="5" t="str">
        <f>Transferencia!D340</f>
        <v>jh.contabilidade@hotmail.com</v>
      </c>
      <c r="E340" s="5" t="str">
        <f>Transferencia!G340</f>
        <v>5511972452377</v>
      </c>
      <c r="F340" s="5" t="str">
        <f>Transferencia!H340</f>
        <v xml:space="preserve">e-CNPJ A1 - PME </v>
      </c>
      <c r="G340" s="6" t="str">
        <f>Transferencia!J340</f>
        <v>PONTO DE ATENDIMENTO AR CERTIFAST - ANDROMEDA/SP</v>
      </c>
      <c r="H340" s="4" t="str">
        <f>VLOOKUP(G340,Página1!G:L,6,0)</f>
        <v>Rogério</v>
      </c>
      <c r="I340" s="4" t="s">
        <v>16</v>
      </c>
      <c r="J340" s="5" t="str">
        <f>Transferencia!L340</f>
        <v>229.239.578-90</v>
      </c>
      <c r="K340" s="5" t="str">
        <f>Transferencia!M340</f>
        <v>36.331.649/0001-32</v>
      </c>
      <c r="L340" s="5" t="s">
        <v>283</v>
      </c>
    </row>
    <row r="341" spans="1:12" ht="15.75" customHeight="1">
      <c r="A341" s="5" t="str">
        <f>Transferencia!A341</f>
        <v>23094639</v>
      </c>
      <c r="B341" s="5" t="str">
        <f>Transferencia!B341</f>
        <v>22/02/2025</v>
      </c>
      <c r="C341" s="5" t="str">
        <f>Transferencia!C341</f>
        <v>ROGERIO ROQUE DA CRUZ</v>
      </c>
      <c r="D341" s="5" t="str">
        <f>Transferencia!D341</f>
        <v>jh.contabilidade@hotmail.com</v>
      </c>
      <c r="E341" s="5" t="str">
        <f>Transferencia!G341</f>
        <v>5511958838500</v>
      </c>
      <c r="F341" s="5" t="str">
        <f>Transferencia!H341</f>
        <v xml:space="preserve">e-CNPJ A1 - PME </v>
      </c>
      <c r="G341" s="6" t="str">
        <f>Transferencia!J341</f>
        <v>PONTO DE ATENDIMENTO AR CERTIFAST - ANDROMEDA/SP</v>
      </c>
      <c r="H341" s="4" t="str">
        <f>VLOOKUP(G341,Página1!G:L,6,0)</f>
        <v>Rogério</v>
      </c>
      <c r="I341" s="4" t="s">
        <v>16</v>
      </c>
      <c r="J341" s="5" t="str">
        <f>Transferencia!L341</f>
        <v>397.065.288-06</v>
      </c>
      <c r="K341" s="5" t="str">
        <f>Transferencia!M341</f>
        <v>45.088.908/0001-37</v>
      </c>
      <c r="L341" s="5" t="s">
        <v>284</v>
      </c>
    </row>
    <row r="342" spans="1:12" ht="15.75" customHeight="1">
      <c r="A342" s="5" t="str">
        <f>Transferencia!A342</f>
        <v>23096547</v>
      </c>
      <c r="B342" s="5" t="str">
        <f>Transferencia!B342</f>
        <v>22/02/2025</v>
      </c>
      <c r="C342" s="5" t="str">
        <f>Transferencia!C342</f>
        <v>SERGIO EDUARDO CZUCZMAN</v>
      </c>
      <c r="D342" s="5" t="str">
        <f>Transferencia!D342</f>
        <v>brenda.bulgarelli@biocontabil.com.br</v>
      </c>
      <c r="E342" s="5" t="str">
        <f>Transferencia!G342</f>
        <v>55</v>
      </c>
      <c r="F342" s="5" t="str">
        <f>Transferencia!H342</f>
        <v xml:space="preserve">e-CNPJ A1 - PME </v>
      </c>
      <c r="G342" s="6" t="str">
        <f>Transferencia!J342</f>
        <v>PONTO DE ATENDIMENTO AR CERTIFAST - ANDROMEDA/SP</v>
      </c>
      <c r="H342" s="4" t="str">
        <f>VLOOKUP(G342,Página1!G:L,6,0)</f>
        <v>Rogério</v>
      </c>
      <c r="I342" s="4" t="s">
        <v>16</v>
      </c>
      <c r="J342" s="5" t="str">
        <f>Transferencia!L342</f>
        <v>322.962.868-36</v>
      </c>
      <c r="K342" s="5" t="str">
        <f>Transferencia!M342</f>
        <v>35.601.486/0001-06</v>
      </c>
      <c r="L342" s="5" t="s">
        <v>285</v>
      </c>
    </row>
    <row r="343" spans="1:12" ht="15.75" customHeight="1">
      <c r="A343" s="5" t="str">
        <f>Transferencia!A343</f>
        <v>23099591</v>
      </c>
      <c r="B343" s="5" t="str">
        <f>Transferencia!B343</f>
        <v>22/02/2025</v>
      </c>
      <c r="C343" s="5" t="str">
        <f>Transferencia!C343</f>
        <v>SANDRA ALVES DE SOUZA</v>
      </c>
      <c r="D343" s="5" t="str">
        <f>Transferencia!D343</f>
        <v>anderson@aefservicos.com.br</v>
      </c>
      <c r="E343" s="5" t="str">
        <f>Transferencia!G343</f>
        <v>5531991945651</v>
      </c>
      <c r="F343" s="5" t="str">
        <f>Transferencia!H343</f>
        <v xml:space="preserve">e-CNPJ A1 - 1 ano </v>
      </c>
      <c r="G343" s="6" t="str">
        <f>Transferencia!J343</f>
        <v>Ponto de Atendimento AR Certifast - Prado BH/MG</v>
      </c>
      <c r="H343" s="4" t="str">
        <f>VLOOKUP(G343,Página1!G:L,6,0)</f>
        <v>Isabella</v>
      </c>
      <c r="I343" s="4" t="s">
        <v>16</v>
      </c>
      <c r="J343" s="5" t="str">
        <f>Transferencia!L343</f>
        <v>074.612.226-86</v>
      </c>
      <c r="K343" s="5" t="str">
        <f>Transferencia!M343</f>
        <v>27.081.527/0001-44</v>
      </c>
      <c r="L343" s="5" t="s">
        <v>286</v>
      </c>
    </row>
    <row r="344" spans="1:12" ht="15.75" customHeight="1">
      <c r="A344" s="5" t="str">
        <f>Transferencia!A344</f>
        <v>23103092</v>
      </c>
      <c r="B344" s="5" t="str">
        <f>Transferencia!B344</f>
        <v>22/02/2025</v>
      </c>
      <c r="C344" s="5" t="str">
        <f>Transferencia!C344</f>
        <v>RICARDO LEANDRO DOS SANTOS</v>
      </c>
      <c r="D344" s="5" t="str">
        <f>Transferencia!D344</f>
        <v>assantoscontabil@gmail.com</v>
      </c>
      <c r="E344" s="5" t="str">
        <f>Transferencia!G344</f>
        <v>5512988590365</v>
      </c>
      <c r="F344" s="5" t="str">
        <f>Transferencia!H344</f>
        <v xml:space="preserve">e-CNPJ A1 - PME </v>
      </c>
      <c r="G344" s="6" t="str">
        <f>Transferencia!J344</f>
        <v>PONTO DE ATENDIMENTO AR Certifast - Sao Jose dos Campos/SP</v>
      </c>
      <c r="H344" s="4" t="str">
        <f>VLOOKUP(G344,Página1!G:L,6,0)</f>
        <v>Rafael</v>
      </c>
      <c r="I344" s="4" t="s">
        <v>16</v>
      </c>
      <c r="J344" s="5" t="str">
        <f>Transferencia!L344</f>
        <v>293.385.848-79</v>
      </c>
      <c r="K344" s="5" t="str">
        <f>Transferencia!M344</f>
        <v>43.388.050/0001-09</v>
      </c>
      <c r="L344" s="5" t="s">
        <v>287</v>
      </c>
    </row>
    <row r="345" spans="1:12" ht="15.75" customHeight="1">
      <c r="A345" s="5" t="str">
        <f>Transferencia!A345</f>
        <v>23113278</v>
      </c>
      <c r="B345" s="5" t="str">
        <f>Transferencia!B345</f>
        <v>22/02/2025</v>
      </c>
      <c r="C345" s="5" t="str">
        <f>Transferencia!C345</f>
        <v>GEALZI MARQUES PASSOS</v>
      </c>
      <c r="D345" s="5" t="str">
        <f>Transferencia!D345</f>
        <v>emersonepacheco@gmail.com</v>
      </c>
      <c r="E345" s="5" t="str">
        <f>Transferencia!G345</f>
        <v>55</v>
      </c>
      <c r="F345" s="5" t="str">
        <f>Transferencia!H345</f>
        <v xml:space="preserve">e-CNPJ A1 - 1 ano </v>
      </c>
      <c r="G345" s="6" t="str">
        <f>Transferencia!J345</f>
        <v>Ponto de Atendimento AR Certifast - Maua Centro/SP</v>
      </c>
      <c r="H345" s="4" t="str">
        <f>VLOOKUP(G345,Página1!G:L,6,0)</f>
        <v>Ingrid</v>
      </c>
      <c r="I345" s="4" t="s">
        <v>16</v>
      </c>
      <c r="J345" s="5" t="str">
        <f>Transferencia!L345</f>
        <v>050.423.998-87</v>
      </c>
      <c r="K345" s="5" t="str">
        <f>Transferencia!M345</f>
        <v>03.612.679/0001-68</v>
      </c>
      <c r="L345" s="5" t="s">
        <v>288</v>
      </c>
    </row>
    <row r="346" spans="1:12" ht="15.75" customHeight="1">
      <c r="A346" s="5" t="str">
        <f>Transferencia!A346</f>
        <v>19446399</v>
      </c>
      <c r="B346" s="5" t="str">
        <f>Transferencia!B346</f>
        <v>23/02/2025</v>
      </c>
      <c r="C346" s="5" t="str">
        <f>Transferencia!C346</f>
        <v>JOSIMEIRE RODRIGUES PEREIRA DE CARVALHO</v>
      </c>
      <c r="D346" s="5" t="str">
        <f>Transferencia!D346</f>
        <v>VANESSA.MEGACOLOR@GMAIL.COM</v>
      </c>
      <c r="E346" s="5" t="str">
        <f>Transferencia!G346</f>
        <v>5511970518367</v>
      </c>
      <c r="F346" s="5" t="str">
        <f>Transferencia!H346</f>
        <v xml:space="preserve">e-CNPJ A3 - 3 anos </v>
      </c>
      <c r="G346" s="6" t="str">
        <f>Transferencia!J346</f>
        <v>PONTO DE ATENDIMENTO AR CERTIFAST - CWM/SP</v>
      </c>
      <c r="H346" s="4" t="e">
        <f>VLOOKUP(G346,Página1!G:L,6,0)</f>
        <v>#N/A</v>
      </c>
      <c r="I346" s="4" t="s">
        <v>16</v>
      </c>
      <c r="J346" s="5" t="str">
        <f>Transferencia!L346</f>
        <v>192.677.608-90</v>
      </c>
      <c r="K346" s="5" t="str">
        <f>Transferencia!M346</f>
        <v>35.635.453/0001-79</v>
      </c>
      <c r="L346" s="5"/>
    </row>
    <row r="347" spans="1:12" ht="15.75" customHeight="1">
      <c r="A347" s="5" t="str">
        <f>Transferencia!A347</f>
        <v>20055705</v>
      </c>
      <c r="B347" s="5" t="str">
        <f>Transferencia!B347</f>
        <v>23/02/2025</v>
      </c>
      <c r="C347" s="5" t="str">
        <f>Transferencia!C347</f>
        <v>RICARDO FERNANDES DA SILVA</v>
      </c>
      <c r="D347" s="5" t="str">
        <f>Transferencia!D347</f>
        <v>RICARDO.FERNANDES90@YAHOO.COM.BR</v>
      </c>
      <c r="E347" s="5" t="str">
        <f>Transferencia!G347</f>
        <v>5511999618632</v>
      </c>
      <c r="F347" s="5" t="str">
        <f>Transferencia!H347</f>
        <v xml:space="preserve">e-CNPJ A3 - 3 anos </v>
      </c>
      <c r="G347" s="6" t="str">
        <f>Transferencia!J347</f>
        <v>AR Certifast</v>
      </c>
      <c r="H347" s="4" t="str">
        <f>VLOOKUP(G347,Página1!G:L,6,0)</f>
        <v>Alexandre</v>
      </c>
      <c r="I347" s="4" t="s">
        <v>16</v>
      </c>
      <c r="J347" s="5" t="str">
        <f>Transferencia!L347</f>
        <v>076.379.618-26</v>
      </c>
      <c r="K347" s="5" t="str">
        <f>Transferencia!M347</f>
        <v>01.799.439/0001-99</v>
      </c>
      <c r="L347" s="5"/>
    </row>
    <row r="348" spans="1:12" ht="15.75" customHeight="1">
      <c r="A348" s="5" t="str">
        <f>Transferencia!A348</f>
        <v>20107387</v>
      </c>
      <c r="B348" s="5" t="str">
        <f>Transferencia!B348</f>
        <v>23/02/2025</v>
      </c>
      <c r="C348" s="5" t="str">
        <f>Transferencia!C348</f>
        <v>ARLINDA DONISETE LOPES DE ANDRADE</v>
      </c>
      <c r="D348" s="5" t="str">
        <f>Transferencia!D348</f>
        <v>COMPRAS@CAMARAMAUA.SP.GOV.BR</v>
      </c>
      <c r="E348" s="5" t="str">
        <f>Transferencia!G348</f>
        <v>55</v>
      </c>
      <c r="F348" s="5" t="str">
        <f>Transferencia!H348</f>
        <v xml:space="preserve">e-CPF A3 - 3 anos </v>
      </c>
      <c r="G348" s="6" t="str">
        <f>Transferencia!J348</f>
        <v>Ponto de Atendimento AR Certifast - Maua Centro/SP</v>
      </c>
      <c r="H348" s="4" t="str">
        <f>VLOOKUP(G348,Página1!G:L,6,0)</f>
        <v>Ingrid</v>
      </c>
      <c r="I348" s="4" t="s">
        <v>16</v>
      </c>
      <c r="J348" s="5" t="str">
        <f>Transferencia!L348</f>
        <v>107.739.318-05</v>
      </c>
      <c r="K348" s="5" t="str">
        <f>Transferencia!M348</f>
        <v/>
      </c>
      <c r="L348" s="5" t="s">
        <v>289</v>
      </c>
    </row>
    <row r="349" spans="1:12" ht="15.75" customHeight="1">
      <c r="A349" s="5" t="str">
        <f>Transferencia!A349</f>
        <v>20107388</v>
      </c>
      <c r="B349" s="5" t="str">
        <f>Transferencia!B349</f>
        <v>23/02/2025</v>
      </c>
      <c r="C349" s="5" t="str">
        <f>Transferencia!C349</f>
        <v>ANDRE SOARES BARBOSA</v>
      </c>
      <c r="D349" s="5" t="str">
        <f>Transferencia!D349</f>
        <v>COMPRAS@CAMARAMAUA.SP.GOV.BR</v>
      </c>
      <c r="E349" s="5" t="str">
        <f>Transferencia!G349</f>
        <v>55</v>
      </c>
      <c r="F349" s="5" t="str">
        <f>Transferencia!H349</f>
        <v xml:space="preserve">e-CPF A3 - 3 anos </v>
      </c>
      <c r="G349" s="6" t="str">
        <f>Transferencia!J349</f>
        <v>Ponto de Atendimento AR Certifast - Maua Centro/SP</v>
      </c>
      <c r="H349" s="4" t="str">
        <f>VLOOKUP(G349,Página1!G:L,6,0)</f>
        <v>Ingrid</v>
      </c>
      <c r="I349" s="4" t="s">
        <v>16</v>
      </c>
      <c r="J349" s="5" t="str">
        <f>Transferencia!L349</f>
        <v>015.845.065-55</v>
      </c>
      <c r="K349" s="5" t="str">
        <f>Transferencia!M349</f>
        <v/>
      </c>
      <c r="L349" s="5" t="s">
        <v>290</v>
      </c>
    </row>
    <row r="350" spans="1:12" ht="15.75" customHeight="1">
      <c r="A350" s="5" t="str">
        <f>Transferencia!A350</f>
        <v>20107389</v>
      </c>
      <c r="B350" s="5" t="str">
        <f>Transferencia!B350</f>
        <v>23/02/2025</v>
      </c>
      <c r="C350" s="5" t="str">
        <f>Transferencia!C350</f>
        <v>ISABEL CRISTINA NOBRE VIEIRA VIANA</v>
      </c>
      <c r="D350" s="5" t="str">
        <f>Transferencia!D350</f>
        <v>COMPRAS@CAMARAMAUA.SP.GOV.BR</v>
      </c>
      <c r="E350" s="5" t="str">
        <f>Transferencia!G350</f>
        <v>55</v>
      </c>
      <c r="F350" s="5" t="str">
        <f>Transferencia!H350</f>
        <v xml:space="preserve">e-CPF A3 - 3 anos </v>
      </c>
      <c r="G350" s="6" t="str">
        <f>Transferencia!J350</f>
        <v>Ponto de Atendimento AR Certifast - Maua Centro/SP</v>
      </c>
      <c r="H350" s="4" t="str">
        <f>VLOOKUP(G350,Página1!G:L,6,0)</f>
        <v>Ingrid</v>
      </c>
      <c r="I350" s="4" t="s">
        <v>16</v>
      </c>
      <c r="J350" s="5" t="str">
        <f>Transferencia!L350</f>
        <v>051.321.058-07</v>
      </c>
      <c r="K350" s="5" t="str">
        <f>Transferencia!M350</f>
        <v/>
      </c>
      <c r="L350" s="5" t="s">
        <v>291</v>
      </c>
    </row>
    <row r="351" spans="1:12" ht="15.75" customHeight="1">
      <c r="A351" s="5" t="str">
        <f>Transferencia!A351</f>
        <v>20107390</v>
      </c>
      <c r="B351" s="5" t="str">
        <f>Transferencia!B351</f>
        <v>23/02/2025</v>
      </c>
      <c r="C351" s="5" t="str">
        <f>Transferencia!C351</f>
        <v>MARILLIA CUNHA CAMARA QUIXABA DA SILVA</v>
      </c>
      <c r="D351" s="5" t="str">
        <f>Transferencia!D351</f>
        <v>COMPRAS@CAMARAMAUA.SP.GOV.BR</v>
      </c>
      <c r="E351" s="5" t="str">
        <f>Transferencia!G351</f>
        <v>55</v>
      </c>
      <c r="F351" s="5" t="str">
        <f>Transferencia!H351</f>
        <v xml:space="preserve">e-CPF A3 - 3 anos </v>
      </c>
      <c r="G351" s="6" t="str">
        <f>Transferencia!J351</f>
        <v>Ponto de Atendimento AR Certifast - Maua Centro/SP</v>
      </c>
      <c r="H351" s="4" t="str">
        <f>VLOOKUP(G351,Página1!G:L,6,0)</f>
        <v>Ingrid</v>
      </c>
      <c r="I351" s="4" t="s">
        <v>16</v>
      </c>
      <c r="J351" s="5" t="str">
        <f>Transferencia!L351</f>
        <v>049.135.841-54</v>
      </c>
      <c r="K351" s="5" t="str">
        <f>Transferencia!M351</f>
        <v/>
      </c>
      <c r="L351" s="5" t="s">
        <v>292</v>
      </c>
    </row>
    <row r="352" spans="1:12" ht="15.75" customHeight="1">
      <c r="A352" s="5" t="str">
        <f>Transferencia!A352</f>
        <v>20107391</v>
      </c>
      <c r="B352" s="5" t="str">
        <f>Transferencia!B352</f>
        <v>23/02/2025</v>
      </c>
      <c r="C352" s="5" t="str">
        <f>Transferencia!C352</f>
        <v>MAGDA APARECIDA ALVES DE OLIVEIRA LIPPI</v>
      </c>
      <c r="D352" s="5" t="str">
        <f>Transferencia!D352</f>
        <v>COMPRAS@CAMARAMAUA.SP.GOV.BR</v>
      </c>
      <c r="E352" s="5" t="str">
        <f>Transferencia!G352</f>
        <v>55</v>
      </c>
      <c r="F352" s="5" t="str">
        <f>Transferencia!H352</f>
        <v xml:space="preserve">e-CPF A3 - 3 anos </v>
      </c>
      <c r="G352" s="6" t="str">
        <f>Transferencia!J352</f>
        <v>Ponto de Atendimento AR Certifast - Maua Centro/SP</v>
      </c>
      <c r="H352" s="4" t="str">
        <f>VLOOKUP(G352,Página1!G:L,6,0)</f>
        <v>Ingrid</v>
      </c>
      <c r="I352" s="4" t="s">
        <v>16</v>
      </c>
      <c r="J352" s="5" t="str">
        <f>Transferencia!L352</f>
        <v>048.452.208-65</v>
      </c>
      <c r="K352" s="5" t="str">
        <f>Transferencia!M352</f>
        <v/>
      </c>
      <c r="L352" s="5" t="s">
        <v>293</v>
      </c>
    </row>
    <row r="353" spans="1:12" ht="15.75" customHeight="1">
      <c r="A353" s="5" t="str">
        <f>Transferencia!A353</f>
        <v>20107392</v>
      </c>
      <c r="B353" s="5" t="str">
        <f>Transferencia!B353</f>
        <v>23/02/2025</v>
      </c>
      <c r="C353" s="5" t="str">
        <f>Transferencia!C353</f>
        <v>IGOR BRENDO MEDEIROS VALENTE</v>
      </c>
      <c r="D353" s="5" t="str">
        <f>Transferencia!D353</f>
        <v>COMPRAS@CAMARAMAUA.SP.GOV.BR</v>
      </c>
      <c r="E353" s="5" t="str">
        <f>Transferencia!G353</f>
        <v>55</v>
      </c>
      <c r="F353" s="5" t="str">
        <f>Transferencia!H353</f>
        <v xml:space="preserve">e-CPF A3 - 3 anos </v>
      </c>
      <c r="G353" s="6" t="str">
        <f>Transferencia!J353</f>
        <v>Ponto de Atendimento AR Certifast - Maua Centro/SP</v>
      </c>
      <c r="H353" s="4" t="str">
        <f>VLOOKUP(G353,Página1!G:L,6,0)</f>
        <v>Ingrid</v>
      </c>
      <c r="I353" s="4" t="s">
        <v>16</v>
      </c>
      <c r="J353" s="5" t="str">
        <f>Transferencia!L353</f>
        <v>411.650.238-30</v>
      </c>
      <c r="K353" s="5" t="str">
        <f>Transferencia!M353</f>
        <v/>
      </c>
      <c r="L353" s="5" t="s">
        <v>294</v>
      </c>
    </row>
    <row r="354" spans="1:12" ht="15.75" customHeight="1">
      <c r="A354" s="5" t="str">
        <f>Transferencia!A354</f>
        <v>20107395</v>
      </c>
      <c r="B354" s="5" t="str">
        <f>Transferencia!B354</f>
        <v>23/02/2025</v>
      </c>
      <c r="C354" s="5" t="str">
        <f>Transferencia!C354</f>
        <v>STEFANO DE BIAZZI</v>
      </c>
      <c r="D354" s="5" t="str">
        <f>Transferencia!D354</f>
        <v>COMPRAS@CAMARAMAUA.SP.GOV.BR</v>
      </c>
      <c r="E354" s="5" t="str">
        <f>Transferencia!G354</f>
        <v>55</v>
      </c>
      <c r="F354" s="5" t="str">
        <f>Transferencia!H354</f>
        <v xml:space="preserve">e-CPF A3 - 3 anos </v>
      </c>
      <c r="G354" s="6" t="str">
        <f>Transferencia!J354</f>
        <v>Ponto de Atendimento AR Certifast - Maua Centro/SP</v>
      </c>
      <c r="H354" s="4" t="str">
        <f>VLOOKUP(G354,Página1!G:L,6,0)</f>
        <v>Ingrid</v>
      </c>
      <c r="I354" s="4" t="s">
        <v>16</v>
      </c>
      <c r="J354" s="5" t="str">
        <f>Transferencia!L354</f>
        <v>367.440.078-23</v>
      </c>
      <c r="K354" s="5" t="str">
        <f>Transferencia!M354</f>
        <v/>
      </c>
      <c r="L354" s="5"/>
    </row>
    <row r="355" spans="1:12" ht="15.75" customHeight="1">
      <c r="A355" s="5" t="str">
        <f>Transferencia!A355</f>
        <v>20107397</v>
      </c>
      <c r="B355" s="5" t="str">
        <f>Transferencia!B355</f>
        <v>23/02/2025</v>
      </c>
      <c r="C355" s="5" t="str">
        <f>Transferencia!C355</f>
        <v>JULYA OLIVEIRA BERNABEL</v>
      </c>
      <c r="D355" s="5" t="str">
        <f>Transferencia!D355</f>
        <v>COMPRAS@CAMARAMAUA.SP.GOV.BR</v>
      </c>
      <c r="E355" s="5" t="str">
        <f>Transferencia!G355</f>
        <v>55</v>
      </c>
      <c r="F355" s="5" t="str">
        <f>Transferencia!H355</f>
        <v xml:space="preserve">e-CPF A3 - 3 anos </v>
      </c>
      <c r="G355" s="6" t="str">
        <f>Transferencia!J355</f>
        <v>Ponto de Atendimento AR Certifast - Maua Centro/SP</v>
      </c>
      <c r="H355" s="4" t="str">
        <f>VLOOKUP(G355,Página1!G:L,6,0)</f>
        <v>Ingrid</v>
      </c>
      <c r="I355" s="4" t="s">
        <v>16</v>
      </c>
      <c r="J355" s="5" t="str">
        <f>Transferencia!L355</f>
        <v>329.575.768-21</v>
      </c>
      <c r="K355" s="5" t="str">
        <f>Transferencia!M355</f>
        <v/>
      </c>
      <c r="L355" s="5" t="s">
        <v>295</v>
      </c>
    </row>
    <row r="356" spans="1:12" ht="15.75" customHeight="1">
      <c r="A356" s="5" t="str">
        <f>Transferencia!A356</f>
        <v>20107399</v>
      </c>
      <c r="B356" s="5" t="str">
        <f>Transferencia!B356</f>
        <v>23/02/2025</v>
      </c>
      <c r="C356" s="5" t="str">
        <f>Transferencia!C356</f>
        <v>JORGE SANTIAGO CARVALHO SEQUEIRA</v>
      </c>
      <c r="D356" s="5" t="str">
        <f>Transferencia!D356</f>
        <v>COMPRAS@CAMARAMAUA.SP.GOV.BR</v>
      </c>
      <c r="E356" s="5" t="str">
        <f>Transferencia!G356</f>
        <v>5511956194376</v>
      </c>
      <c r="F356" s="5" t="str">
        <f>Transferencia!H356</f>
        <v xml:space="preserve">e-CPF A3 - 3 anos </v>
      </c>
      <c r="G356" s="6" t="str">
        <f>Transferencia!J356</f>
        <v>Ponto de Atendimento AR Certifast - Maua Centro/SP</v>
      </c>
      <c r="H356" s="4" t="str">
        <f>VLOOKUP(G356,Página1!G:L,6,0)</f>
        <v>Ingrid</v>
      </c>
      <c r="I356" s="4" t="s">
        <v>16</v>
      </c>
      <c r="J356" s="5" t="str">
        <f>Transferencia!L356</f>
        <v>359.873.578-29</v>
      </c>
      <c r="K356" s="5" t="str">
        <f>Transferencia!M356</f>
        <v/>
      </c>
      <c r="L356" s="5" t="s">
        <v>296</v>
      </c>
    </row>
    <row r="357" spans="1:12" ht="15.75" customHeight="1">
      <c r="A357" s="5" t="str">
        <f>Transferencia!A357</f>
        <v>20119708</v>
      </c>
      <c r="B357" s="5" t="str">
        <f>Transferencia!B357</f>
        <v>23/02/2025</v>
      </c>
      <c r="C357" s="5" t="str">
        <f>Transferencia!C357</f>
        <v>ELIAS DE ARAUJO</v>
      </c>
      <c r="D357" s="5" t="str">
        <f>Transferencia!D357</f>
        <v>PEDROHRA@YAHOO.COM.BR</v>
      </c>
      <c r="E357" s="5" t="str">
        <f>Transferencia!G357</f>
        <v>5531975125577</v>
      </c>
      <c r="F357" s="5" t="str">
        <f>Transferencia!H357</f>
        <v xml:space="preserve">e-CPF A3 - 3 anos </v>
      </c>
      <c r="G357" s="6" t="str">
        <f>Transferencia!J357</f>
        <v>Ponto de Atendimento AR Certifast - Prado BH/MG</v>
      </c>
      <c r="H357" s="4" t="str">
        <f>VLOOKUP(G357,Página1!G:L,6,0)</f>
        <v>Isabella</v>
      </c>
      <c r="I357" s="4" t="s">
        <v>16</v>
      </c>
      <c r="J357" s="5" t="str">
        <f>Transferencia!L357</f>
        <v>165.104.966-15</v>
      </c>
      <c r="K357" s="5" t="str">
        <f>Transferencia!M357</f>
        <v/>
      </c>
      <c r="L357" s="5" t="s">
        <v>297</v>
      </c>
    </row>
    <row r="358" spans="1:12" ht="15.75" customHeight="1">
      <c r="A358" s="5" t="str">
        <f>Transferencia!A358</f>
        <v>20139184</v>
      </c>
      <c r="B358" s="5" t="str">
        <f>Transferencia!B358</f>
        <v>23/02/2025</v>
      </c>
      <c r="C358" s="5" t="str">
        <f>Transferencia!C358</f>
        <v>DANIELA DA SILVA</v>
      </c>
      <c r="D358" s="5" t="str">
        <f>Transferencia!D358</f>
        <v>danisilvasd@gmail.com</v>
      </c>
      <c r="E358" s="5" t="str">
        <f>Transferencia!G358</f>
        <v>5511972177210</v>
      </c>
      <c r="F358" s="5" t="str">
        <f>Transferencia!H358</f>
        <v xml:space="preserve">e-CPF A3 </v>
      </c>
      <c r="G358" s="6" t="str">
        <f>Transferencia!J358</f>
        <v>Ponto de Atendimento AR Certifast - Pauliceia/SP</v>
      </c>
      <c r="H358" s="4" t="str">
        <f>VLOOKUP(G358,Página1!G:L,6,0)</f>
        <v>Alexandre</v>
      </c>
      <c r="I358" s="4" t="s">
        <v>16</v>
      </c>
      <c r="J358" s="5" t="str">
        <f>Transferencia!L358</f>
        <v>172.326.928-03</v>
      </c>
      <c r="K358" s="5" t="str">
        <f>Transferencia!M358</f>
        <v/>
      </c>
      <c r="L358" s="5" t="s">
        <v>298</v>
      </c>
    </row>
    <row r="359" spans="1:12" ht="15.75" customHeight="1">
      <c r="A359" s="5" t="str">
        <f>Transferencia!A359</f>
        <v>23064492</v>
      </c>
      <c r="B359" s="5" t="str">
        <f>Transferencia!B359</f>
        <v>23/02/2025</v>
      </c>
      <c r="C359" s="5" t="str">
        <f>Transferencia!C359</f>
        <v>CAIO LUCAS CERQUEIRA DE MORAIS</v>
      </c>
      <c r="D359" s="5" t="str">
        <f>Transferencia!D359</f>
        <v>discocaosbh@gmail.com</v>
      </c>
      <c r="E359" s="5" t="str">
        <f>Transferencia!G359</f>
        <v>5531984752423</v>
      </c>
      <c r="F359" s="5" t="str">
        <f>Transferencia!H359</f>
        <v xml:space="preserve">e-CNPJ A1 - 1 ano </v>
      </c>
      <c r="G359" s="6" t="str">
        <f>Transferencia!J359</f>
        <v>Ponto de Atendimento AR Certifast - Prado BH/MG</v>
      </c>
      <c r="H359" s="4" t="str">
        <f>VLOOKUP(G359,Página1!G:L,6,0)</f>
        <v>Isabella</v>
      </c>
      <c r="I359" s="4" t="s">
        <v>16</v>
      </c>
      <c r="J359" s="5" t="str">
        <f>Transferencia!L359</f>
        <v>020.054.576-04</v>
      </c>
      <c r="K359" s="5" t="str">
        <f>Transferencia!M359</f>
        <v>46.654.197/0001-83</v>
      </c>
      <c r="L359" s="5" t="s">
        <v>299</v>
      </c>
    </row>
    <row r="360" spans="1:12" ht="15.75" customHeight="1">
      <c r="A360" s="5" t="str">
        <f>Transferencia!A360</f>
        <v>23092132</v>
      </c>
      <c r="B360" s="5" t="str">
        <f>Transferencia!B360</f>
        <v>23/02/2025</v>
      </c>
      <c r="C360" s="5" t="str">
        <f>Transferencia!C360</f>
        <v>LEANDRO AUGUSTO DE ALCANTARA PIO</v>
      </c>
      <c r="D360" s="5" t="str">
        <f>Transferencia!D360</f>
        <v>leandro.augusto09@hotmail.com</v>
      </c>
      <c r="E360" s="5" t="str">
        <f>Transferencia!G360</f>
        <v>5531994388697</v>
      </c>
      <c r="F360" s="5" t="str">
        <f>Transferencia!H360</f>
        <v xml:space="preserve">e-CNPJ A1 - 1 ano </v>
      </c>
      <c r="G360" s="6" t="str">
        <f>Transferencia!J360</f>
        <v>Ponto de Atendimento AR Certifast - Prado BH/MG</v>
      </c>
      <c r="H360" s="4" t="str">
        <f>VLOOKUP(G360,Página1!G:L,6,0)</f>
        <v>Isabella</v>
      </c>
      <c r="I360" s="4" t="s">
        <v>16</v>
      </c>
      <c r="J360" s="5" t="str">
        <f>Transferencia!L360</f>
        <v>073.246.556-70</v>
      </c>
      <c r="K360" s="5" t="str">
        <f>Transferencia!M360</f>
        <v>52.608.095/0001-24</v>
      </c>
      <c r="L360" s="5" t="s">
        <v>300</v>
      </c>
    </row>
    <row r="361" spans="1:12" ht="15.75" customHeight="1">
      <c r="A361" s="5" t="str">
        <f>Transferencia!A361</f>
        <v>23105336</v>
      </c>
      <c r="B361" s="5" t="str">
        <f>Transferencia!B361</f>
        <v>23/02/2025</v>
      </c>
      <c r="C361" s="5" t="str">
        <f>Transferencia!C361</f>
        <v>LEANDRO MARCELINO DE SOUZA</v>
      </c>
      <c r="D361" s="5" t="str">
        <f>Transferencia!D361</f>
        <v>leandro.souza.marcelino@gmail.com</v>
      </c>
      <c r="E361" s="5" t="str">
        <f>Transferencia!G361</f>
        <v>55</v>
      </c>
      <c r="F361" s="5" t="str">
        <f>Transferencia!H361</f>
        <v>e-CNPJ A1 Mercado Livre</v>
      </c>
      <c r="G361" s="6" t="str">
        <f>Transferencia!J361</f>
        <v>Ponto de Atendimento AR Certifast - Maua Centro/SP</v>
      </c>
      <c r="H361" s="4" t="str">
        <f>VLOOKUP(G361,Página1!G:L,6,0)</f>
        <v>Ingrid</v>
      </c>
      <c r="I361" s="4" t="s">
        <v>16</v>
      </c>
      <c r="J361" s="5" t="str">
        <f>Transferencia!L361</f>
        <v>328.725.648-37</v>
      </c>
      <c r="K361" s="5" t="str">
        <f>Transferencia!M361</f>
        <v>49.989.788/0001-08</v>
      </c>
      <c r="L361" s="5" t="s">
        <v>301</v>
      </c>
    </row>
    <row r="362" spans="1:12" ht="15.75" customHeight="1">
      <c r="A362" s="5" t="str">
        <f>Transferencia!A362</f>
        <v>23115073</v>
      </c>
      <c r="B362" s="5" t="str">
        <f>Transferencia!B362</f>
        <v>23/02/2025</v>
      </c>
      <c r="C362" s="5" t="str">
        <f>Transferencia!C362</f>
        <v>AMANDA CARDOSO RODRIGUES ZANPIERI</v>
      </c>
      <c r="D362" s="5" t="str">
        <f>Transferencia!D362</f>
        <v>manda.crod@hotmail.com</v>
      </c>
      <c r="E362" s="5" t="str">
        <f>Transferencia!G362</f>
        <v>5511967739652</v>
      </c>
      <c r="F362" s="5" t="str">
        <f>Transferencia!H362</f>
        <v xml:space="preserve">e-CNPJ A1 - PME </v>
      </c>
      <c r="G362" s="6" t="str">
        <f>Transferencia!J362</f>
        <v>PONTO DE ATENDIMENTO AR CERTIFAST - ANDROMEDA/SP</v>
      </c>
      <c r="H362" s="4" t="str">
        <f>VLOOKUP(G362,Página1!G:L,6,0)</f>
        <v>Rogério</v>
      </c>
      <c r="I362" s="4" t="s">
        <v>16</v>
      </c>
      <c r="J362" s="5" t="str">
        <f>Transferencia!L362</f>
        <v>408.076.558-48</v>
      </c>
      <c r="K362" s="5" t="str">
        <f>Transferencia!M362</f>
        <v>42.779.534/0001-08</v>
      </c>
      <c r="L362" s="5"/>
    </row>
    <row r="363" spans="1:12" ht="15.75" customHeight="1">
      <c r="A363" s="5" t="str">
        <f>Transferencia!A363</f>
        <v>20007474</v>
      </c>
      <c r="B363" s="5" t="str">
        <f>Transferencia!B363</f>
        <v>24/02/2025</v>
      </c>
      <c r="C363" s="5" t="str">
        <f>Transferencia!C363</f>
        <v>GUSTAVO DE SANTA ROSA SANTOS</v>
      </c>
      <c r="D363" s="5" t="str">
        <f>Transferencia!D363</f>
        <v>GSANTOSBORRACHAS@HOTMAIL.COM</v>
      </c>
      <c r="E363" s="5" t="str">
        <f>Transferencia!G363</f>
        <v>5571999601984</v>
      </c>
      <c r="F363" s="5" t="str">
        <f>Transferencia!H363</f>
        <v xml:space="preserve">e-CNPJ A3 - 3 anos - PME </v>
      </c>
      <c r="G363" s="6" t="str">
        <f>Transferencia!J363</f>
        <v>Ponto de Atendimento AR Certifast - Jundiai Centro/SP</v>
      </c>
      <c r="H363" s="4" t="str">
        <f>VLOOKUP(G363,Página1!G:L,6,0)</f>
        <v>Alexandre</v>
      </c>
      <c r="I363" s="4" t="s">
        <v>16</v>
      </c>
      <c r="J363" s="5" t="str">
        <f>Transferencia!L363</f>
        <v>018.301.365-42</v>
      </c>
      <c r="K363" s="5" t="str">
        <f>Transferencia!M363</f>
        <v>26.708.520/0001-47</v>
      </c>
      <c r="L363" s="5" t="s">
        <v>302</v>
      </c>
    </row>
    <row r="364" spans="1:12" ht="15.75" customHeight="1">
      <c r="A364" s="5" t="str">
        <f>Transferencia!A364</f>
        <v>20051908</v>
      </c>
      <c r="B364" s="5" t="str">
        <f>Transferencia!B364</f>
        <v>24/02/2025</v>
      </c>
      <c r="C364" s="5" t="str">
        <f>Transferencia!C364</f>
        <v>ABNER DA SILVA RODRIGUES</v>
      </c>
      <c r="D364" s="5" t="str">
        <f>Transferencia!D364</f>
        <v>acmast@acmast.com.br</v>
      </c>
      <c r="E364" s="5" t="str">
        <f>Transferencia!G364</f>
        <v>5512988173870</v>
      </c>
      <c r="F364" s="5" t="str">
        <f>Transferencia!H364</f>
        <v xml:space="preserve">e-CPF A3 - 3 anos </v>
      </c>
      <c r="G364" s="6" t="str">
        <f>Transferencia!J364</f>
        <v>PONTO DE ATENDIMENTO AR CERTIFAST - ANDROMEDA/SP</v>
      </c>
      <c r="H364" s="4" t="str">
        <f>VLOOKUP(G364,Página1!G:L,6,0)</f>
        <v>Rogério</v>
      </c>
      <c r="I364" s="4" t="s">
        <v>16</v>
      </c>
      <c r="J364" s="5" t="str">
        <f>Transferencia!L364</f>
        <v>033.782.269-78</v>
      </c>
      <c r="K364" s="5" t="str">
        <f>Transferencia!M364</f>
        <v/>
      </c>
      <c r="L364" s="5" t="s">
        <v>303</v>
      </c>
    </row>
    <row r="365" spans="1:12" ht="15.75" customHeight="1">
      <c r="A365" s="5" t="str">
        <f>Transferencia!A365</f>
        <v>20097306</v>
      </c>
      <c r="B365" s="5" t="str">
        <f>Transferencia!B365</f>
        <v>24/02/2025</v>
      </c>
      <c r="C365" s="5" t="str">
        <f>Transferencia!C365</f>
        <v>OSMAR PEREIRA DE SOUZA</v>
      </c>
      <c r="D365" s="5" t="str">
        <f>Transferencia!D365</f>
        <v>OSMAR@ACPCOMPONENTES.COM.BR</v>
      </c>
      <c r="E365" s="5" t="str">
        <f>Transferencia!G365</f>
        <v>5511991566917</v>
      </c>
      <c r="F365" s="5" t="str">
        <f>Transferencia!H365</f>
        <v xml:space="preserve">e-CNPJ A3 - 3 anos </v>
      </c>
      <c r="G365" s="6" t="str">
        <f>Transferencia!J365</f>
        <v>Ponto de Atendimento AR Certifast - Jundiai Centro/SP</v>
      </c>
      <c r="H365" s="4" t="str">
        <f>VLOOKUP(G365,Página1!G:L,6,0)</f>
        <v>Alexandre</v>
      </c>
      <c r="I365" s="4" t="s">
        <v>16</v>
      </c>
      <c r="J365" s="5" t="str">
        <f>Transferencia!L365</f>
        <v>103.508.648-45</v>
      </c>
      <c r="K365" s="5" t="str">
        <f>Transferencia!M365</f>
        <v>12.068.887/0001-39</v>
      </c>
      <c r="L365" s="5" t="s">
        <v>304</v>
      </c>
    </row>
    <row r="366" spans="1:12" ht="15.75" customHeight="1">
      <c r="A366" s="5" t="str">
        <f>Transferencia!A366</f>
        <v>20131746</v>
      </c>
      <c r="B366" s="5" t="str">
        <f>Transferencia!B366</f>
        <v>24/02/2025</v>
      </c>
      <c r="C366" s="5" t="str">
        <f>Transferencia!C366</f>
        <v>JOSE GONZAGA DA SILVA</v>
      </c>
      <c r="D366" s="5" t="str">
        <f>Transferencia!D366</f>
        <v>mjgdoces@hotmail.com</v>
      </c>
      <c r="E366" s="5" t="str">
        <f>Transferencia!G366</f>
        <v>551239238589</v>
      </c>
      <c r="F366" s="5" t="str">
        <f>Transferencia!H366</f>
        <v xml:space="preserve">e-CNPJ A3 - 3 anos - PME </v>
      </c>
      <c r="G366" s="6" t="str">
        <f>Transferencia!J366</f>
        <v>PONTO DE ATENDIMENTO AR CERTIFAST - ANDROMEDA/SP</v>
      </c>
      <c r="H366" s="4" t="str">
        <f>VLOOKUP(G366,Página1!G:L,6,0)</f>
        <v>Rogério</v>
      </c>
      <c r="I366" s="4" t="s">
        <v>16</v>
      </c>
      <c r="J366" s="5" t="str">
        <f>Transferencia!L366</f>
        <v>484.593.649-68</v>
      </c>
      <c r="K366" s="5" t="str">
        <f>Transferencia!M366</f>
        <v>10.475.973/0001-30</v>
      </c>
      <c r="L366" s="5" t="s">
        <v>305</v>
      </c>
    </row>
    <row r="367" spans="1:12" ht="15.75" customHeight="1">
      <c r="A367" s="5" t="str">
        <f>Transferencia!A367</f>
        <v>20138852</v>
      </c>
      <c r="B367" s="5" t="str">
        <f>Transferencia!B367</f>
        <v>24/02/2025</v>
      </c>
      <c r="C367" s="5" t="str">
        <f>Transferencia!C367</f>
        <v>ERICA BARROS MORAIS</v>
      </c>
      <c r="D367" s="5" t="str">
        <f>Transferencia!D367</f>
        <v>erica.morais@tjmg.jus.br</v>
      </c>
      <c r="E367" s="5" t="str">
        <f>Transferencia!G367</f>
        <v>553138652214</v>
      </c>
      <c r="F367" s="5" t="str">
        <f>Transferencia!H367</f>
        <v xml:space="preserve">e-CPF A3 - 3 anos </v>
      </c>
      <c r="G367" s="6" t="str">
        <f>Transferencia!J367</f>
        <v>PONTO DE ATENDIMENTO AR CERTIFAST - ANDROMEDA/SP - JUS</v>
      </c>
      <c r="H367" s="4" t="str">
        <f>VLOOKUP(G367,Página1!G:L,6,0)</f>
        <v>Rogério</v>
      </c>
      <c r="I367" s="4" t="s">
        <v>16</v>
      </c>
      <c r="J367" s="5" t="str">
        <f>Transferencia!L367</f>
        <v>051.381.726-38</v>
      </c>
      <c r="K367" s="5" t="str">
        <f>Transferencia!M367</f>
        <v/>
      </c>
      <c r="L367" s="5" t="s">
        <v>306</v>
      </c>
    </row>
    <row r="368" spans="1:12" ht="15.75" customHeight="1">
      <c r="A368" s="5" t="str">
        <f>Transferencia!A368</f>
        <v>20140221</v>
      </c>
      <c r="B368" s="5" t="str">
        <f>Transferencia!B368</f>
        <v>24/02/2025</v>
      </c>
      <c r="C368" s="5" t="str">
        <f>Transferencia!C368</f>
        <v>FABIO HENRIQUE FERNANDES TEIXEIRA</v>
      </c>
      <c r="D368" s="5" t="str">
        <f>Transferencia!D368</f>
        <v>FABIOHFTEIXEIRA@YAHOO.COM.BR</v>
      </c>
      <c r="E368" s="5" t="str">
        <f>Transferencia!G368</f>
        <v>5531991817008</v>
      </c>
      <c r="F368" s="5" t="str">
        <f>Transferencia!H368</f>
        <v xml:space="preserve">e-CNPJ A3 - 3 anos </v>
      </c>
      <c r="G368" s="6" t="str">
        <f>Transferencia!J368</f>
        <v>Ponto de Atendimento AR Certifast - Prado BH/MG</v>
      </c>
      <c r="H368" s="4" t="str">
        <f>VLOOKUP(G368,Página1!G:L,6,0)</f>
        <v>Isabella</v>
      </c>
      <c r="I368" s="4" t="s">
        <v>16</v>
      </c>
      <c r="J368" s="5" t="str">
        <f>Transferencia!L368</f>
        <v>031.837.866-30</v>
      </c>
      <c r="K368" s="5" t="str">
        <f>Transferencia!M368</f>
        <v>08.433.551/0001-50</v>
      </c>
      <c r="L368" s="5" t="s">
        <v>307</v>
      </c>
    </row>
    <row r="369" spans="1:12" ht="15.75" customHeight="1">
      <c r="A369" s="5" t="str">
        <f>Transferencia!A369</f>
        <v>20141631</v>
      </c>
      <c r="B369" s="5" t="str">
        <f>Transferencia!B369</f>
        <v>24/02/2025</v>
      </c>
      <c r="C369" s="5" t="str">
        <f>Transferencia!C369</f>
        <v>MARCIAL RIBEIRO CHAVES</v>
      </c>
      <c r="D369" s="5" t="str">
        <f>Transferencia!D369</f>
        <v>CHAVES.M@UOL.COM.BR</v>
      </c>
      <c r="E369" s="5" t="str">
        <f>Transferencia!G369</f>
        <v>5511982503290</v>
      </c>
      <c r="F369" s="5" t="str">
        <f>Transferencia!H369</f>
        <v xml:space="preserve">e-CNPJ A3 - 3 anos - PME </v>
      </c>
      <c r="G369" s="6" t="str">
        <f>Transferencia!J369</f>
        <v>Ponto de Atendimento AR Certifast - Jundiai Centro/SP</v>
      </c>
      <c r="H369" s="4" t="str">
        <f>VLOOKUP(G369,Página1!G:L,6,0)</f>
        <v>Alexandre</v>
      </c>
      <c r="I369" s="4" t="s">
        <v>16</v>
      </c>
      <c r="J369" s="5" t="str">
        <f>Transferencia!L369</f>
        <v>085.874.638-70</v>
      </c>
      <c r="K369" s="5" t="str">
        <f>Transferencia!M369</f>
        <v>14.521.509/0001-94</v>
      </c>
      <c r="L369" s="5" t="s">
        <v>308</v>
      </c>
    </row>
    <row r="370" spans="1:12" ht="15.75" customHeight="1">
      <c r="A370" s="5" t="str">
        <f>Transferencia!A370</f>
        <v>20145081</v>
      </c>
      <c r="B370" s="5" t="str">
        <f>Transferencia!B370</f>
        <v>24/02/2025</v>
      </c>
      <c r="C370" s="5" t="str">
        <f>Transferencia!C370</f>
        <v>DANIELE CRISTINA ROSA ALVES</v>
      </c>
      <c r="D370" s="5" t="str">
        <f>Transferencia!D370</f>
        <v>daniele.alves@tjmg.jus.br</v>
      </c>
      <c r="E370" s="5" t="str">
        <f>Transferencia!G370</f>
        <v>5531983160008</v>
      </c>
      <c r="F370" s="5" t="str">
        <f>Transferencia!H370</f>
        <v xml:space="preserve">e-CPF A3 - 3 anos </v>
      </c>
      <c r="G370" s="6" t="str">
        <f>Transferencia!J370</f>
        <v>Ponto de Atendimento AR Certifast - Prado BH/MG - JUS</v>
      </c>
      <c r="H370" s="4" t="str">
        <f>VLOOKUP(G370,Página1!G:L,6,0)</f>
        <v>Isabella</v>
      </c>
      <c r="I370" s="4" t="s">
        <v>16</v>
      </c>
      <c r="J370" s="5" t="str">
        <f>Transferencia!L370</f>
        <v>057.841.996-33</v>
      </c>
      <c r="K370" s="5" t="str">
        <f>Transferencia!M370</f>
        <v/>
      </c>
      <c r="L370" s="5" t="s">
        <v>309</v>
      </c>
    </row>
    <row r="371" spans="1:12" ht="15.75" customHeight="1">
      <c r="A371" s="5" t="str">
        <f>Transferencia!A371</f>
        <v>20147628</v>
      </c>
      <c r="B371" s="5" t="str">
        <f>Transferencia!B371</f>
        <v>24/02/2025</v>
      </c>
      <c r="C371" s="5" t="str">
        <f>Transferencia!C371</f>
        <v>ANDERSON PLACIDO COSTA DE CARVALHO</v>
      </c>
      <c r="D371" s="5" t="str">
        <f>Transferencia!D371</f>
        <v>acarvalh@trf3.jus.br</v>
      </c>
      <c r="E371" s="5" t="str">
        <f>Transferencia!G371</f>
        <v>5512996670499</v>
      </c>
      <c r="F371" s="5" t="str">
        <f>Transferencia!H371</f>
        <v>A3 PF - 3 anos - AC Certisign JUS</v>
      </c>
      <c r="G371" s="6" t="str">
        <f>Transferencia!J371</f>
        <v>PONTO DE ATENDIMENTO AR CERTIFAST - ANDROMEDA/SP - JUS</v>
      </c>
      <c r="H371" s="4" t="str">
        <f>VLOOKUP(G371,Página1!G:L,6,0)</f>
        <v>Rogério</v>
      </c>
      <c r="I371" s="4" t="s">
        <v>16</v>
      </c>
      <c r="J371" s="5" t="str">
        <f>Transferencia!L371</f>
        <v>169.953.428-44</v>
      </c>
      <c r="K371" s="5" t="str">
        <f>Transferencia!M371</f>
        <v/>
      </c>
      <c r="L371" s="5" t="s">
        <v>310</v>
      </c>
    </row>
    <row r="372" spans="1:12" ht="15.75" customHeight="1">
      <c r="A372" s="5" t="str">
        <f>Transferencia!A372</f>
        <v>22961174</v>
      </c>
      <c r="B372" s="5" t="str">
        <f>Transferencia!B372</f>
        <v>24/02/2025</v>
      </c>
      <c r="C372" s="5" t="str">
        <f>Transferencia!C372</f>
        <v>FERNANDO DE CAMPOS</v>
      </c>
      <c r="D372" s="5" t="str">
        <f>Transferencia!D372</f>
        <v>fernando@consultoriaessencia.com.br</v>
      </c>
      <c r="E372" s="5" t="str">
        <f>Transferencia!G372</f>
        <v>5511976896702</v>
      </c>
      <c r="F372" s="5" t="str">
        <f>Transferencia!H372</f>
        <v xml:space="preserve">e-CPF A1 - 1 ano </v>
      </c>
      <c r="G372" s="6" t="str">
        <f>Transferencia!J372</f>
        <v>PONTO DE ATENDIMENTO AR CERTIFAST - ANDROMEDA/SP</v>
      </c>
      <c r="H372" s="4" t="str">
        <f>VLOOKUP(G372,Página1!G:L,6,0)</f>
        <v>Rogério</v>
      </c>
      <c r="I372" s="4" t="s">
        <v>16</v>
      </c>
      <c r="J372" s="5" t="str">
        <f>Transferencia!L372</f>
        <v>260.105.828-57</v>
      </c>
      <c r="K372" s="5" t="str">
        <f>Transferencia!M372</f>
        <v/>
      </c>
      <c r="L372" s="5" t="s">
        <v>311</v>
      </c>
    </row>
    <row r="373" spans="1:12" ht="15.75" customHeight="1">
      <c r="A373" s="5" t="str">
        <f>Transferencia!A373</f>
        <v>22942180</v>
      </c>
      <c r="B373" s="5" t="str">
        <f>Transferencia!B373</f>
        <v>25/02/2025</v>
      </c>
      <c r="C373" s="5" t="str">
        <f>Transferencia!C373</f>
        <v>DENYS LIMA DE ARAUJO</v>
      </c>
      <c r="D373" s="5" t="str">
        <f>Transferencia!D373</f>
        <v>emdrapecas@gmail.com</v>
      </c>
      <c r="E373" s="5" t="str">
        <f>Transferencia!G373</f>
        <v>55</v>
      </c>
      <c r="F373" s="5" t="str">
        <f>Transferencia!H373</f>
        <v xml:space="preserve">e-CNPJ A1 - 1 ano </v>
      </c>
      <c r="G373" s="6" t="str">
        <f>Transferencia!J373</f>
        <v>Ponto de Atendimento AR Certifast - Maua Centro/SP</v>
      </c>
      <c r="H373" s="4" t="str">
        <f>VLOOKUP(G373,Página1!G:L,6,0)</f>
        <v>Ingrid</v>
      </c>
      <c r="I373" s="4" t="s">
        <v>16</v>
      </c>
      <c r="J373" s="5" t="str">
        <f>Transferencia!L373</f>
        <v>315.029.868-76</v>
      </c>
      <c r="K373" s="5" t="str">
        <f>Transferencia!M373</f>
        <v>23.584.209/0001-45</v>
      </c>
      <c r="L373" s="5" t="s">
        <v>312</v>
      </c>
    </row>
    <row r="374" spans="1:12" ht="15.75" customHeight="1">
      <c r="A374" s="5" t="str">
        <f>Transferencia!A374</f>
        <v>22967517</v>
      </c>
      <c r="B374" s="5" t="str">
        <f>Transferencia!B374</f>
        <v>25/02/2025</v>
      </c>
      <c r="C374" s="5" t="str">
        <f>Transferencia!C374</f>
        <v>AMINE MARIA SIMAO DE ASSIS</v>
      </c>
      <c r="D374" s="5" t="str">
        <f>Transferencia!D374</f>
        <v>emerson.rodrigues@grupoprestarh.com.br</v>
      </c>
      <c r="E374" s="5" t="str">
        <f>Transferencia!G374</f>
        <v>5531999300031</v>
      </c>
      <c r="F374" s="5" t="str">
        <f>Transferencia!H374</f>
        <v xml:space="preserve">e-CPF A1 - 1 ano </v>
      </c>
      <c r="G374" s="6" t="str">
        <f>Transferencia!J374</f>
        <v>Ponto de Atendimento AR Certifast - Prado BH/MG</v>
      </c>
      <c r="H374" s="4" t="str">
        <f>VLOOKUP(G374,Página1!G:L,6,0)</f>
        <v>Isabella</v>
      </c>
      <c r="I374" s="4" t="s">
        <v>16</v>
      </c>
      <c r="J374" s="5" t="str">
        <f>Transferencia!L374</f>
        <v>436.095.706-87</v>
      </c>
      <c r="K374" s="5" t="str">
        <f>Transferencia!M374</f>
        <v/>
      </c>
      <c r="L374" s="5" t="s">
        <v>313</v>
      </c>
    </row>
    <row r="375" spans="1:12" ht="15.75" customHeight="1">
      <c r="A375" s="5" t="str">
        <f>Transferencia!A375</f>
        <v>22980527</v>
      </c>
      <c r="B375" s="5" t="str">
        <f>Transferencia!B375</f>
        <v>25/02/2025</v>
      </c>
      <c r="C375" s="5" t="str">
        <f>Transferencia!C375</f>
        <v>EDMAR MARTINS</v>
      </c>
      <c r="D375" s="5" t="str">
        <f>Transferencia!D375</f>
        <v>edmar.martins74@gmail.com</v>
      </c>
      <c r="E375" s="5" t="str">
        <f>Transferencia!G375</f>
        <v>5511961651974</v>
      </c>
      <c r="F375" s="5" t="str">
        <f>Transferencia!H375</f>
        <v xml:space="preserve">e-CNPJ A1 - 1 ano </v>
      </c>
      <c r="G375" s="6" t="str">
        <f>Transferencia!J375</f>
        <v>AR Certifast</v>
      </c>
      <c r="H375" s="4" t="str">
        <f>VLOOKUP(G375,Página1!G:L,6,0)</f>
        <v>Alexandre</v>
      </c>
      <c r="I375" s="4" t="s">
        <v>16</v>
      </c>
      <c r="J375" s="5" t="str">
        <f>Transferencia!L375</f>
        <v>156.036.598-66</v>
      </c>
      <c r="K375" s="5" t="str">
        <f>Transferencia!M375</f>
        <v>16.578.923/0001-65</v>
      </c>
      <c r="L375" s="5" t="s">
        <v>314</v>
      </c>
    </row>
    <row r="376" spans="1:12" ht="15.75" customHeight="1">
      <c r="A376" s="5" t="str">
        <f>Transferencia!A376</f>
        <v>23006622</v>
      </c>
      <c r="B376" s="5" t="str">
        <f>Transferencia!B376</f>
        <v>25/02/2025</v>
      </c>
      <c r="C376" s="5" t="str">
        <f>Transferencia!C376</f>
        <v>VANDERLEI FLORES</v>
      </c>
      <c r="D376" s="5" t="str">
        <f>Transferencia!D376</f>
        <v>vfembalagens@gmail.com</v>
      </c>
      <c r="E376" s="5" t="str">
        <f>Transferencia!G376</f>
        <v>55</v>
      </c>
      <c r="F376" s="5" t="str">
        <f>Transferencia!H376</f>
        <v xml:space="preserve">e-CNPJ A1 - 1 ano </v>
      </c>
      <c r="G376" s="6" t="str">
        <f>Transferencia!J376</f>
        <v>Ponto de Atendimento AR Certifast - Maua Centro/SP</v>
      </c>
      <c r="H376" s="4" t="str">
        <f>VLOOKUP(G376,Página1!G:L,6,0)</f>
        <v>Ingrid</v>
      </c>
      <c r="I376" s="4" t="s">
        <v>16</v>
      </c>
      <c r="J376" s="5" t="str">
        <f>Transferencia!L376</f>
        <v>164.475.538-66</v>
      </c>
      <c r="K376" s="5" t="str">
        <f>Transferencia!M376</f>
        <v>15.143.667/0001-10</v>
      </c>
      <c r="L376" s="5"/>
    </row>
    <row r="377" spans="1:12" ht="15.75" customHeight="1">
      <c r="A377" s="5" t="str">
        <f>Transferencia!A377</f>
        <v>23014682</v>
      </c>
      <c r="B377" s="5" t="str">
        <f>Transferencia!B377</f>
        <v>25/02/2025</v>
      </c>
      <c r="C377" s="5" t="str">
        <f>Transferencia!C377</f>
        <v>ANTONIO CARLOS RAFAEL</v>
      </c>
      <c r="D377" s="5" t="str">
        <f>Transferencia!D377</f>
        <v>mauriciomarsoli@famagas.com.br</v>
      </c>
      <c r="E377" s="5" t="str">
        <f>Transferencia!G377</f>
        <v>5511947227479</v>
      </c>
      <c r="F377" s="5" t="str">
        <f>Transferencia!H377</f>
        <v xml:space="preserve">e-CNPJ A1 - PME </v>
      </c>
      <c r="G377" s="6" t="str">
        <f>Transferencia!J377</f>
        <v>PONTO DE ATENDIMENTO AR CERTIFAST - ANDROMEDA/SP</v>
      </c>
      <c r="H377" s="4" t="str">
        <f>VLOOKUP(G377,Página1!G:L,6,0)</f>
        <v>Rogério</v>
      </c>
      <c r="I377" s="4" t="s">
        <v>16</v>
      </c>
      <c r="J377" s="5" t="str">
        <f>Transferencia!L377</f>
        <v>009.069.598-45</v>
      </c>
      <c r="K377" s="5" t="str">
        <f>Transferencia!M377</f>
        <v>10.531.299/0001-64</v>
      </c>
      <c r="L377" s="5" t="s">
        <v>315</v>
      </c>
    </row>
    <row r="378" spans="1:12" ht="15.75" customHeight="1">
      <c r="A378" s="5" t="str">
        <f>Transferencia!A378</f>
        <v>23039418</v>
      </c>
      <c r="B378" s="5" t="str">
        <f>Transferencia!B378</f>
        <v>25/02/2025</v>
      </c>
      <c r="C378" s="5" t="str">
        <f>Transferencia!C378</f>
        <v>ALYNE DA SILVA MORAIS</v>
      </c>
      <c r="D378" s="5" t="str">
        <f>Transferencia!D378</f>
        <v>contatoalynessilva@outlook.com</v>
      </c>
      <c r="E378" s="5" t="str">
        <f>Transferencia!G378</f>
        <v>5531975563624</v>
      </c>
      <c r="F378" s="5" t="str">
        <f>Transferencia!H378</f>
        <v xml:space="preserve">e-CNPJ A1 - PME </v>
      </c>
      <c r="G378" s="6" t="str">
        <f>Transferencia!J378</f>
        <v>Ponto de Atendimento AR Certifast - Prado BH/MG</v>
      </c>
      <c r="H378" s="4" t="str">
        <f>VLOOKUP(G378,Página1!G:L,6,0)</f>
        <v>Isabella</v>
      </c>
      <c r="I378" s="4" t="s">
        <v>16</v>
      </c>
      <c r="J378" s="5" t="str">
        <f>Transferencia!L378</f>
        <v>018.034.446-30</v>
      </c>
      <c r="K378" s="5" t="str">
        <f>Transferencia!M378</f>
        <v>49.032.467/0001-02</v>
      </c>
      <c r="L378" s="5" t="s">
        <v>316</v>
      </c>
    </row>
    <row r="379" spans="1:12" ht="15.75" customHeight="1">
      <c r="A379" s="5" t="str">
        <f>Transferencia!A379</f>
        <v>23042949</v>
      </c>
      <c r="B379" s="5" t="str">
        <f>Transferencia!B379</f>
        <v>25/02/2025</v>
      </c>
      <c r="C379" s="5" t="str">
        <f>Transferencia!C379</f>
        <v>RUBEM STEFANOS TSOULFAS</v>
      </c>
      <c r="D379" s="5" t="str">
        <f>Transferencia!D379</f>
        <v>JOAOCONTJSA@GMAIL.COM</v>
      </c>
      <c r="E379" s="5" t="str">
        <f>Transferencia!G379</f>
        <v>551132555761</v>
      </c>
      <c r="F379" s="5" t="str">
        <f>Transferencia!H379</f>
        <v xml:space="preserve">e-CNPJ A1 - PME </v>
      </c>
      <c r="G379" s="6" t="str">
        <f>Transferencia!J379</f>
        <v>Ponto de Atendimento AR Certifast - Maua Centro/SP</v>
      </c>
      <c r="H379" s="4" t="str">
        <f>VLOOKUP(G379,Página1!G:L,6,0)</f>
        <v>Ingrid</v>
      </c>
      <c r="I379" s="4" t="s">
        <v>16</v>
      </c>
      <c r="J379" s="5" t="str">
        <f>Transferencia!L379</f>
        <v>218.515.288-22</v>
      </c>
      <c r="K379" s="5" t="str">
        <f>Transferencia!M379</f>
        <v>08.763.661/0001-80</v>
      </c>
      <c r="L379" s="5" t="s">
        <v>317</v>
      </c>
    </row>
    <row r="380" spans="1:12" ht="15.75" customHeight="1">
      <c r="A380" s="5" t="str">
        <f>Transferencia!A380</f>
        <v>23045066</v>
      </c>
      <c r="B380" s="5" t="str">
        <f>Transferencia!B380</f>
        <v>25/02/2025</v>
      </c>
      <c r="C380" s="5" t="str">
        <f>Transferencia!C380</f>
        <v>JUCARA FREIRE DE SOUZA CRUZ</v>
      </c>
      <c r="D380" s="5" t="str">
        <f>Transferencia!D380</f>
        <v>jfreire@jfreire.com.br</v>
      </c>
      <c r="E380" s="5" t="str">
        <f>Transferencia!G380</f>
        <v>5531992076162</v>
      </c>
      <c r="F380" s="5" t="str">
        <f>Transferencia!H380</f>
        <v xml:space="preserve">e-CNPJ A1 - PME </v>
      </c>
      <c r="G380" s="6" t="str">
        <f>Transferencia!J380</f>
        <v>Ponto de Atendimento AR Certifast - Prado BH/MG</v>
      </c>
      <c r="H380" s="4" t="str">
        <f>VLOOKUP(G380,Página1!G:L,6,0)</f>
        <v>Isabella</v>
      </c>
      <c r="I380" s="4" t="s">
        <v>16</v>
      </c>
      <c r="J380" s="5" t="str">
        <f>Transferencia!L380</f>
        <v>319.088.966-04</v>
      </c>
      <c r="K380" s="5" t="str">
        <f>Transferencia!M380</f>
        <v>31.547.296/0001-99</v>
      </c>
      <c r="L380" s="5"/>
    </row>
    <row r="381" spans="1:12" ht="15.75" customHeight="1">
      <c r="A381" s="5" t="str">
        <f>Transferencia!A381</f>
        <v>23052449</v>
      </c>
      <c r="B381" s="5" t="str">
        <f>Transferencia!B381</f>
        <v>25/02/2025</v>
      </c>
      <c r="C381" s="5" t="str">
        <f>Transferencia!C381</f>
        <v>RAFAEL TORRES DE MARTIN</v>
      </c>
      <c r="D381" s="5" t="str">
        <f>Transferencia!D381</f>
        <v>rafaeltdm@yahoo.com.br</v>
      </c>
      <c r="E381" s="5" t="str">
        <f>Transferencia!G381</f>
        <v>551239312164</v>
      </c>
      <c r="F381" s="5" t="str">
        <f>Transferencia!H381</f>
        <v xml:space="preserve">e-CNPJ A1 - 1 ano </v>
      </c>
      <c r="G381" s="6" t="str">
        <f>Transferencia!J381</f>
        <v>PONTO DE ATENDIMENTO AR CERTIFAST - ANDROMEDA/SP</v>
      </c>
      <c r="H381" s="4" t="str">
        <f>VLOOKUP(G381,Página1!G:L,6,0)</f>
        <v>Rogério</v>
      </c>
      <c r="I381" s="4" t="s">
        <v>16</v>
      </c>
      <c r="J381" s="5" t="str">
        <f>Transferencia!L381</f>
        <v>252.393.068-42</v>
      </c>
      <c r="K381" s="5" t="str">
        <f>Transferencia!M381</f>
        <v>24.595.028/0001-87</v>
      </c>
      <c r="L381" s="5" t="s">
        <v>318</v>
      </c>
    </row>
    <row r="382" spans="1:12" ht="15.75" customHeight="1">
      <c r="A382" s="5" t="str">
        <f>Transferencia!A382</f>
        <v>23069343</v>
      </c>
      <c r="B382" s="5" t="str">
        <f>Transferencia!B382</f>
        <v>25/02/2025</v>
      </c>
      <c r="C382" s="5" t="str">
        <f>Transferencia!C382</f>
        <v>TIAGO DA SILVA RAMOS</v>
      </c>
      <c r="D382" s="5" t="str">
        <f>Transferencia!D382</f>
        <v>coord.societario@reluzcontabil.com.br</v>
      </c>
      <c r="E382" s="5" t="str">
        <f>Transferencia!G382</f>
        <v>5561992714086</v>
      </c>
      <c r="F382" s="5" t="str">
        <f>Transferencia!H382</f>
        <v xml:space="preserve">e-CPF A1 - 1 ano </v>
      </c>
      <c r="G382" s="6" t="str">
        <f>Transferencia!J382</f>
        <v>Ponto de Atendimento AR Certifast - Maua Centro/SP</v>
      </c>
      <c r="H382" s="4" t="str">
        <f>VLOOKUP(G382,Página1!G:L,6,0)</f>
        <v>Ingrid</v>
      </c>
      <c r="I382" s="4" t="s">
        <v>16</v>
      </c>
      <c r="J382" s="5" t="str">
        <f>Transferencia!L382</f>
        <v>002.294.011-12</v>
      </c>
      <c r="K382" s="5" t="str">
        <f>Transferencia!M382</f>
        <v/>
      </c>
      <c r="L382" s="5"/>
    </row>
    <row r="383" spans="1:12" ht="15.75" customHeight="1">
      <c r="A383" s="5" t="str">
        <f>Transferencia!A383</f>
        <v>23071809</v>
      </c>
      <c r="B383" s="5" t="str">
        <f>Transferencia!B383</f>
        <v>25/02/2025</v>
      </c>
      <c r="C383" s="5" t="str">
        <f>Transferencia!C383</f>
        <v>AGENILTO ALVES DA CRUZ</v>
      </c>
      <c r="D383" s="5" t="str">
        <f>Transferencia!D383</f>
        <v>coord.societario@reluzcontabil.com.br</v>
      </c>
      <c r="E383" s="5" t="str">
        <f>Transferencia!G383</f>
        <v>5511971486400</v>
      </c>
      <c r="F383" s="5" t="str">
        <f>Transferencia!H383</f>
        <v xml:space="preserve">e-CNPJ A1 - PME </v>
      </c>
      <c r="G383" s="6" t="str">
        <f>Transferencia!J383</f>
        <v>Ponto de Atendimento AR Certifast - Maua Centro/SP</v>
      </c>
      <c r="H383" s="4" t="str">
        <f>VLOOKUP(G383,Página1!G:L,6,0)</f>
        <v>Ingrid</v>
      </c>
      <c r="I383" s="4" t="s">
        <v>16</v>
      </c>
      <c r="J383" s="5" t="str">
        <f>Transferencia!L383</f>
        <v>182.969.108-29</v>
      </c>
      <c r="K383" s="5" t="str">
        <f>Transferencia!M383</f>
        <v>05.215.945/0002-25</v>
      </c>
      <c r="L383" s="5" t="s">
        <v>319</v>
      </c>
    </row>
    <row r="384" spans="1:12" ht="15.75" customHeight="1">
      <c r="A384" s="5" t="str">
        <f>Transferencia!A384</f>
        <v>23086673</v>
      </c>
      <c r="B384" s="5" t="str">
        <f>Transferencia!B384</f>
        <v>25/02/2025</v>
      </c>
      <c r="C384" s="5" t="str">
        <f>Transferencia!C384</f>
        <v>LIA RUFINO BODNARUK DE OLIVEIRA</v>
      </c>
      <c r="D384" s="5" t="str">
        <f>Transferencia!D384</f>
        <v>lia@donaclara.ind.br</v>
      </c>
      <c r="E384" s="5" t="str">
        <f>Transferencia!G384</f>
        <v>55</v>
      </c>
      <c r="F384" s="5" t="str">
        <f>Transferencia!H384</f>
        <v xml:space="preserve">e-CNPJ A1 - 1 ano </v>
      </c>
      <c r="G384" s="6" t="str">
        <f>Transferencia!J384</f>
        <v>Ponto de Atendimento AR Certifast - Maua Centro/SP</v>
      </c>
      <c r="H384" s="4" t="str">
        <f>VLOOKUP(G384,Página1!G:L,6,0)</f>
        <v>Ingrid</v>
      </c>
      <c r="I384" s="4" t="s">
        <v>16</v>
      </c>
      <c r="J384" s="5" t="str">
        <f>Transferencia!L384</f>
        <v>349.244.548-93</v>
      </c>
      <c r="K384" s="5" t="str">
        <f>Transferencia!M384</f>
        <v>23.803.196/0001-58</v>
      </c>
      <c r="L384" s="5" t="s">
        <v>320</v>
      </c>
    </row>
    <row r="385" spans="1:12" ht="15.75" customHeight="1">
      <c r="A385" s="5" t="str">
        <f>Transferencia!A385</f>
        <v>23087619</v>
      </c>
      <c r="B385" s="5" t="str">
        <f>Transferencia!B385</f>
        <v>25/02/2025</v>
      </c>
      <c r="C385" s="5" t="str">
        <f>Transferencia!C385</f>
        <v>VINICIUS CAMARGO ASSIS GONCALVES</v>
      </c>
      <c r="D385" s="5" t="str">
        <f>Transferencia!D385</f>
        <v>viniciuscagoncalves@gmail.com</v>
      </c>
      <c r="E385" s="5" t="str">
        <f>Transferencia!G385</f>
        <v>5512997817873</v>
      </c>
      <c r="F385" s="5" t="str">
        <f>Transferencia!H385</f>
        <v xml:space="preserve">e-CNPJ A1 - 1 ano </v>
      </c>
      <c r="G385" s="6" t="str">
        <f>Transferencia!J385</f>
        <v>PONTO DE ATENDIMENTO AR CERTIFAST - ANDROMEDA/SP</v>
      </c>
      <c r="H385" s="4" t="str">
        <f>VLOOKUP(G385,Página1!G:L,6,0)</f>
        <v>Rogério</v>
      </c>
      <c r="I385" s="4" t="s">
        <v>16</v>
      </c>
      <c r="J385" s="5" t="str">
        <f>Transferencia!L385</f>
        <v>306.340.638-47</v>
      </c>
      <c r="K385" s="5" t="str">
        <f>Transferencia!M385</f>
        <v>39.755.131/0001-14</v>
      </c>
      <c r="L385" s="5" t="s">
        <v>321</v>
      </c>
    </row>
    <row r="386" spans="1:12" ht="15.75" customHeight="1">
      <c r="A386" s="5" t="str">
        <f>Transferencia!A386</f>
        <v>23093562</v>
      </c>
      <c r="B386" s="5" t="str">
        <f>Transferencia!B386</f>
        <v>25/02/2025</v>
      </c>
      <c r="C386" s="5" t="str">
        <f>Transferencia!C386</f>
        <v>SERGIO RICARDO MENDONCA DOS SANTOS</v>
      </c>
      <c r="D386" s="5" t="str">
        <f>Transferencia!D386</f>
        <v>fabianarodrigues2403@gmail.com</v>
      </c>
      <c r="E386" s="5" t="str">
        <f>Transferencia!G386</f>
        <v>5512988279040</v>
      </c>
      <c r="F386" s="5" t="str">
        <f>Transferencia!H386</f>
        <v xml:space="preserve">e-CNPJ A1 - PME </v>
      </c>
      <c r="G386" s="6" t="str">
        <f>Transferencia!J386</f>
        <v>PONTO DE ATENDIMENTO AR CERTIFAST - ANDROMEDA/SP</v>
      </c>
      <c r="H386" s="4" t="str">
        <f>VLOOKUP(G386,Página1!G:L,6,0)</f>
        <v>Rogério</v>
      </c>
      <c r="I386" s="4" t="s">
        <v>16</v>
      </c>
      <c r="J386" s="5" t="str">
        <f>Transferencia!L386</f>
        <v>098.614.638-28</v>
      </c>
      <c r="K386" s="5" t="str">
        <f>Transferencia!M386</f>
        <v>47.388.455/0001-90</v>
      </c>
      <c r="L386" s="5"/>
    </row>
    <row r="387" spans="1:12" ht="15.75" customHeight="1">
      <c r="A387" s="5" t="str">
        <f>Transferencia!A387</f>
        <v>23099776</v>
      </c>
      <c r="B387" s="5" t="str">
        <f>Transferencia!B387</f>
        <v>25/02/2025</v>
      </c>
      <c r="C387" s="5" t="str">
        <f>Transferencia!C387</f>
        <v>ARISTIDES STRADIOTTO JUNIOR</v>
      </c>
      <c r="D387" s="5" t="str">
        <f>Transferencia!D387</f>
        <v>constance.gigamodas@gmail.com</v>
      </c>
      <c r="E387" s="5" t="str">
        <f>Transferencia!G387</f>
        <v>5531996146335</v>
      </c>
      <c r="F387" s="5" t="str">
        <f>Transferencia!H387</f>
        <v xml:space="preserve">e-CNPJ A1 - PME </v>
      </c>
      <c r="G387" s="6" t="str">
        <f>Transferencia!J387</f>
        <v>Ponto de Atendimento AR Certifast - Prado BH/MG</v>
      </c>
      <c r="H387" s="4" t="str">
        <f>VLOOKUP(G387,Página1!G:L,6,0)</f>
        <v>Isabella</v>
      </c>
      <c r="I387" s="4" t="s">
        <v>16</v>
      </c>
      <c r="J387" s="5" t="str">
        <f>Transferencia!L387</f>
        <v>219.855.539-53</v>
      </c>
      <c r="K387" s="5" t="str">
        <f>Transferencia!M387</f>
        <v>27.115.754/0001-43</v>
      </c>
      <c r="L387" s="5" t="s">
        <v>258</v>
      </c>
    </row>
    <row r="388" spans="1:12" ht="15.75" customHeight="1">
      <c r="A388" s="5" t="str">
        <f>Transferencia!A388</f>
        <v>23102743</v>
      </c>
      <c r="B388" s="5" t="str">
        <f>Transferencia!B388</f>
        <v>25/02/2025</v>
      </c>
      <c r="C388" s="5" t="str">
        <f>Transferencia!C388</f>
        <v>VAGNER SOARES DE BRITO</v>
      </c>
      <c r="D388" s="5" t="str">
        <f>Transferencia!D388</f>
        <v>jh.contabilidade@hotmail.com</v>
      </c>
      <c r="E388" s="5" t="str">
        <f>Transferencia!G388</f>
        <v>5511949541322</v>
      </c>
      <c r="F388" s="5" t="str">
        <f>Transferencia!H388</f>
        <v xml:space="preserve">e-CNPJ A1 - PME </v>
      </c>
      <c r="G388" s="6" t="str">
        <f>Transferencia!J388</f>
        <v>PONTO DE ATENDIMENTO AR CERTIFAST - ANDROMEDA/SP</v>
      </c>
      <c r="H388" s="4" t="str">
        <f>VLOOKUP(G388,Página1!G:L,6,0)</f>
        <v>Rogério</v>
      </c>
      <c r="I388" s="4" t="s">
        <v>16</v>
      </c>
      <c r="J388" s="5" t="str">
        <f>Transferencia!L388</f>
        <v>286.239.068-29</v>
      </c>
      <c r="K388" s="5" t="str">
        <f>Transferencia!M388</f>
        <v>15.791.632/0001-98</v>
      </c>
      <c r="L388" s="5" t="s">
        <v>322</v>
      </c>
    </row>
    <row r="389" spans="1:12" ht="15.75" customHeight="1">
      <c r="A389" s="5" t="str">
        <f>Transferencia!A389</f>
        <v>23104366</v>
      </c>
      <c r="B389" s="5" t="str">
        <f>Transferencia!B389</f>
        <v>25/02/2025</v>
      </c>
      <c r="C389" s="5" t="str">
        <f>Transferencia!C389</f>
        <v>JOAO PAULO JORGE</v>
      </c>
      <c r="D389" s="5" t="str">
        <f>Transferencia!D389</f>
        <v>bublitz.scontabeis@gmail.com</v>
      </c>
      <c r="E389" s="5" t="str">
        <f>Transferencia!G389</f>
        <v>5511947781210</v>
      </c>
      <c r="F389" s="5" t="str">
        <f>Transferencia!H389</f>
        <v xml:space="preserve">e-CNPJ A1 - PME </v>
      </c>
      <c r="G389" s="6" t="str">
        <f>Transferencia!J389</f>
        <v>PONTO DE ATENDIMENTO AR CERTIFAST - ANDROMEDA/SP</v>
      </c>
      <c r="H389" s="4" t="str">
        <f>VLOOKUP(G389,Página1!G:L,6,0)</f>
        <v>Rogério</v>
      </c>
      <c r="I389" s="4" t="s">
        <v>16</v>
      </c>
      <c r="J389" s="5" t="str">
        <f>Transferencia!L389</f>
        <v>376.894.638-00</v>
      </c>
      <c r="K389" s="5" t="str">
        <f>Transferencia!M389</f>
        <v>24.874.085/0001-03</v>
      </c>
      <c r="L389" s="5" t="s">
        <v>323</v>
      </c>
    </row>
    <row r="390" spans="1:12" ht="15.75" customHeight="1">
      <c r="A390" s="5" t="str">
        <f>Transferencia!A390</f>
        <v>23104770</v>
      </c>
      <c r="B390" s="5" t="str">
        <f>Transferencia!B390</f>
        <v>25/02/2025</v>
      </c>
      <c r="C390" s="5" t="str">
        <f>Transferencia!C390</f>
        <v>ANGELO MARCIO BORGES CRUZ</v>
      </c>
      <c r="D390" s="5" t="str">
        <f>Transferencia!D390</f>
        <v>cleidelocacao@hotmail.com</v>
      </c>
      <c r="E390" s="5" t="str">
        <f>Transferencia!G390</f>
        <v>5531999139409</v>
      </c>
      <c r="F390" s="5" t="str">
        <f>Transferencia!H390</f>
        <v xml:space="preserve">e-CNPJ A1 - PME </v>
      </c>
      <c r="G390" s="6" t="str">
        <f>Transferencia!J390</f>
        <v>Ponto de Atendimento AR Certifast - Prado BH/MG</v>
      </c>
      <c r="H390" s="4" t="str">
        <f>VLOOKUP(G390,Página1!G:L,6,0)</f>
        <v>Isabella</v>
      </c>
      <c r="I390" s="4" t="s">
        <v>16</v>
      </c>
      <c r="J390" s="5" t="str">
        <f>Transferencia!L390</f>
        <v>075.310.436-96</v>
      </c>
      <c r="K390" s="5" t="str">
        <f>Transferencia!M390</f>
        <v>29.174.746/0001-01</v>
      </c>
      <c r="L390" s="5" t="s">
        <v>324</v>
      </c>
    </row>
    <row r="391" spans="1:12" ht="15.75" customHeight="1">
      <c r="A391" s="5" t="str">
        <f>Transferencia!A391</f>
        <v>23107418</v>
      </c>
      <c r="B391" s="5" t="str">
        <f>Transferencia!B391</f>
        <v>25/02/2025</v>
      </c>
      <c r="C391" s="5" t="str">
        <f>Transferencia!C391</f>
        <v>ERNANI CESAR DE OLIVEIRA LIMA</v>
      </c>
      <c r="D391" s="5" t="str">
        <f>Transferencia!D391</f>
        <v>reautomacao.sjc@gmail.com</v>
      </c>
      <c r="E391" s="5" t="str">
        <f>Transferencia!G391</f>
        <v>5512982507980</v>
      </c>
      <c r="F391" s="5" t="str">
        <f>Transferencia!H391</f>
        <v xml:space="preserve">e-CNPJ A1 - PME </v>
      </c>
      <c r="G391" s="6" t="str">
        <f>Transferencia!J391</f>
        <v>PONTO DE ATENDIMENTO AR CERTIFAST - ANDROMEDA/SP</v>
      </c>
      <c r="H391" s="4" t="str">
        <f>VLOOKUP(G391,Página1!G:L,6,0)</f>
        <v>Rogério</v>
      </c>
      <c r="I391" s="4" t="s">
        <v>16</v>
      </c>
      <c r="J391" s="5" t="str">
        <f>Transferencia!L391</f>
        <v>308.900.218-30</v>
      </c>
      <c r="K391" s="5" t="str">
        <f>Transferencia!M391</f>
        <v>28.644.918/0001-92</v>
      </c>
      <c r="L391" s="5"/>
    </row>
    <row r="392" spans="1:12" ht="15.75" customHeight="1">
      <c r="A392" s="5" t="str">
        <f>Transferencia!A392</f>
        <v>23109299</v>
      </c>
      <c r="B392" s="5" t="str">
        <f>Transferencia!B392</f>
        <v>25/02/2025</v>
      </c>
      <c r="C392" s="5" t="str">
        <f>Transferencia!C392</f>
        <v>TIAGO RICHARDSON MARTINS DE OLIVEIRA</v>
      </c>
      <c r="D392" s="5" t="str">
        <f>Transferencia!D392</f>
        <v>tiagorichardson.ent@gmail.com</v>
      </c>
      <c r="E392" s="5" t="str">
        <f>Transferencia!G392</f>
        <v>5531975077357</v>
      </c>
      <c r="F392" s="5" t="str">
        <f>Transferencia!H392</f>
        <v xml:space="preserve">e-CNPJ A1 - PME </v>
      </c>
      <c r="G392" s="6" t="str">
        <f>Transferencia!J392</f>
        <v>Ponto de Atendimento AR Certifast - Prado BH/MG</v>
      </c>
      <c r="H392" s="4" t="str">
        <f>VLOOKUP(G392,Página1!G:L,6,0)</f>
        <v>Isabella</v>
      </c>
      <c r="I392" s="4" t="s">
        <v>16</v>
      </c>
      <c r="J392" s="5" t="str">
        <f>Transferencia!L392</f>
        <v>700.050.616-44</v>
      </c>
      <c r="K392" s="5" t="str">
        <f>Transferencia!M392</f>
        <v>53.381.625/0001-07</v>
      </c>
      <c r="L392" s="5" t="s">
        <v>325</v>
      </c>
    </row>
    <row r="393" spans="1:12" ht="15.75" customHeight="1">
      <c r="A393" s="5" t="str">
        <f>Transferencia!A393</f>
        <v>23110072</v>
      </c>
      <c r="B393" s="5" t="str">
        <f>Transferencia!B393</f>
        <v>25/02/2025</v>
      </c>
      <c r="C393" s="5" t="str">
        <f>Transferencia!C393</f>
        <v>DANIELA PEREIRA QUEIROZ</v>
      </c>
      <c r="D393" s="5" t="str">
        <f>Transferencia!D393</f>
        <v>dannycoi762@gmail.com</v>
      </c>
      <c r="E393" s="5" t="str">
        <f>Transferencia!G393</f>
        <v>5531997691529</v>
      </c>
      <c r="F393" s="5" t="str">
        <f>Transferencia!H393</f>
        <v xml:space="preserve">e-CNPJ A1 - 1 ano </v>
      </c>
      <c r="G393" s="6" t="str">
        <f>Transferencia!J393</f>
        <v>Ponto de Atendimento AR Certifast - Prado BH/MG</v>
      </c>
      <c r="H393" s="4" t="str">
        <f>VLOOKUP(G393,Página1!G:L,6,0)</f>
        <v>Isabella</v>
      </c>
      <c r="I393" s="4" t="s">
        <v>16</v>
      </c>
      <c r="J393" s="5" t="str">
        <f>Transferencia!L393</f>
        <v>121.142.956-30</v>
      </c>
      <c r="K393" s="5" t="str">
        <f>Transferencia!M393</f>
        <v>44.665.296/0001-35</v>
      </c>
      <c r="L393" s="5" t="s">
        <v>326</v>
      </c>
    </row>
    <row r="394" spans="1:12" ht="15.75" customHeight="1">
      <c r="A394" s="5" t="str">
        <f>Transferencia!A394</f>
        <v>23112898</v>
      </c>
      <c r="B394" s="5" t="str">
        <f>Transferencia!B394</f>
        <v>25/02/2025</v>
      </c>
      <c r="C394" s="5" t="str">
        <f>Transferencia!C394</f>
        <v>KEZIA DA SILVA SANTOS</v>
      </c>
      <c r="D394" s="5" t="str">
        <f>Transferencia!D394</f>
        <v>ruancarllos3@outlook.com</v>
      </c>
      <c r="E394" s="5" t="str">
        <f>Transferencia!G394</f>
        <v>5512988278094</v>
      </c>
      <c r="F394" s="5" t="str">
        <f>Transferencia!H394</f>
        <v xml:space="preserve">e-CNPJ A1 - PME </v>
      </c>
      <c r="G394" s="6" t="str">
        <f>Transferencia!J394</f>
        <v>PONTO DE ATENDIMENTO AR CERTIFAST - ANDROMEDA/SP</v>
      </c>
      <c r="H394" s="4" t="str">
        <f>VLOOKUP(G394,Página1!G:L,6,0)</f>
        <v>Rogério</v>
      </c>
      <c r="I394" s="4" t="s">
        <v>16</v>
      </c>
      <c r="J394" s="5" t="str">
        <f>Transferencia!L394</f>
        <v>861.621.305-84</v>
      </c>
      <c r="K394" s="5" t="str">
        <f>Transferencia!M394</f>
        <v>44.200.759/0001-93</v>
      </c>
      <c r="L394" s="5" t="s">
        <v>327</v>
      </c>
    </row>
    <row r="395" spans="1:12" ht="15.75" customHeight="1">
      <c r="A395" s="5" t="str">
        <f>Transferencia!A395</f>
        <v>23115477</v>
      </c>
      <c r="B395" s="5" t="str">
        <f>Transferencia!B395</f>
        <v>25/02/2025</v>
      </c>
      <c r="C395" s="5" t="str">
        <f>Transferencia!C395</f>
        <v>THIAGO RIBEIRO DE MACEDO FERNANDES</v>
      </c>
      <c r="D395" s="5" t="str">
        <f>Transferencia!D395</f>
        <v>thiagoribeiro.f@hotmail.com</v>
      </c>
      <c r="E395" s="5" t="str">
        <f>Transferencia!G395</f>
        <v>5531973507202</v>
      </c>
      <c r="F395" s="5" t="str">
        <f>Transferencia!H395</f>
        <v xml:space="preserve">e-CPF A1 - 1 ano </v>
      </c>
      <c r="G395" s="6" t="str">
        <f>Transferencia!J395</f>
        <v>Ponto de Atendimento AR Certifast - Prado BH/MG</v>
      </c>
      <c r="H395" s="4" t="str">
        <f>VLOOKUP(G395,Página1!G:L,6,0)</f>
        <v>Isabella</v>
      </c>
      <c r="I395" s="4" t="s">
        <v>16</v>
      </c>
      <c r="J395" s="5" t="str">
        <f>Transferencia!L395</f>
        <v>117.631.196-45</v>
      </c>
      <c r="K395" s="5" t="str">
        <f>Transferencia!M395</f>
        <v/>
      </c>
      <c r="L395" s="5"/>
    </row>
    <row r="396" spans="1:12" ht="15.75" customHeight="1">
      <c r="A396" s="5" t="str">
        <f>Transferencia!A396</f>
        <v>23115698</v>
      </c>
      <c r="B396" s="5" t="str">
        <f>Transferencia!B396</f>
        <v>25/02/2025</v>
      </c>
      <c r="C396" s="5" t="str">
        <f>Transferencia!C396</f>
        <v>YAGO MARCHESINI DOS SANTOS</v>
      </c>
      <c r="D396" s="5" t="str">
        <f>Transferencia!D396</f>
        <v>atendimento@tabacariamolotov.com.br</v>
      </c>
      <c r="E396" s="5" t="str">
        <f>Transferencia!G396</f>
        <v>551195077557</v>
      </c>
      <c r="F396" s="5" t="str">
        <f>Transferencia!H396</f>
        <v xml:space="preserve">e-CNPJ A1 - 1 ano </v>
      </c>
      <c r="G396" s="6" t="str">
        <f>Transferencia!J396</f>
        <v>Ponto de Atendimento AR Certifast - Maua Centro/SP</v>
      </c>
      <c r="H396" s="4" t="str">
        <f>VLOOKUP(G396,Página1!G:L,6,0)</f>
        <v>Ingrid</v>
      </c>
      <c r="I396" s="4" t="s">
        <v>16</v>
      </c>
      <c r="J396" s="5" t="str">
        <f>Transferencia!L396</f>
        <v>388.536.538-33</v>
      </c>
      <c r="K396" s="5" t="str">
        <f>Transferencia!M396</f>
        <v>28.957.323/0001-97</v>
      </c>
      <c r="L396" s="5" t="s">
        <v>328</v>
      </c>
    </row>
    <row r="397" spans="1:12" ht="15.75" customHeight="1">
      <c r="A397" s="5" t="str">
        <f>Transferencia!A397</f>
        <v>23115715</v>
      </c>
      <c r="B397" s="5" t="str">
        <f>Transferencia!B397</f>
        <v>25/02/2025</v>
      </c>
      <c r="C397" s="5" t="str">
        <f>Transferencia!C397</f>
        <v>ELISANGELA OLIVEIRA SILVA</v>
      </c>
      <c r="D397" s="5" t="str">
        <f>Transferencia!D397</f>
        <v>elisangelaoliveira.silva051073@gmail.com</v>
      </c>
      <c r="E397" s="5" t="str">
        <f>Transferencia!G397</f>
        <v>5511998206368</v>
      </c>
      <c r="F397" s="5" t="str">
        <f>Transferencia!H397</f>
        <v xml:space="preserve">e-CNPJ A1 - 1 ano </v>
      </c>
      <c r="G397" s="6" t="str">
        <f>Transferencia!J397</f>
        <v>Ponto de Atendimento AR Certifast - Maua Centro/SP</v>
      </c>
      <c r="H397" s="4" t="str">
        <f>VLOOKUP(G397,Página1!G:L,6,0)</f>
        <v>Ingrid</v>
      </c>
      <c r="I397" s="4" t="s">
        <v>16</v>
      </c>
      <c r="J397" s="5" t="str">
        <f>Transferencia!L397</f>
        <v>833.649.513-49</v>
      </c>
      <c r="K397" s="5" t="str">
        <f>Transferencia!M397</f>
        <v>46.307.424/0001-02</v>
      </c>
      <c r="L397" s="5" t="s">
        <v>329</v>
      </c>
    </row>
    <row r="398" spans="1:12" ht="15.75" customHeight="1">
      <c r="A398" s="5" t="str">
        <f>Transferencia!A398</f>
        <v>23116083</v>
      </c>
      <c r="B398" s="5" t="str">
        <f>Transferencia!B398</f>
        <v>25/02/2025</v>
      </c>
      <c r="C398" s="5" t="str">
        <f>Transferencia!C398</f>
        <v>ORLANDO MENDES ALBINO</v>
      </c>
      <c r="D398" s="5" t="str">
        <f>Transferencia!D398</f>
        <v>ricardo@bklbikes.com.br</v>
      </c>
      <c r="E398" s="5" t="str">
        <f>Transferencia!G398</f>
        <v>55</v>
      </c>
      <c r="F398" s="5" t="str">
        <f>Transferencia!H398</f>
        <v>e-CNPJ A1 Mercado Livre</v>
      </c>
      <c r="G398" s="6" t="str">
        <f>Transferencia!J398</f>
        <v>Ponto de Atendimento AR Certifast - Maua Centro/SP</v>
      </c>
      <c r="H398" s="4" t="str">
        <f>VLOOKUP(G398,Página1!G:L,6,0)</f>
        <v>Ingrid</v>
      </c>
      <c r="I398" s="4" t="s">
        <v>16</v>
      </c>
      <c r="J398" s="5" t="str">
        <f>Transferencia!L398</f>
        <v>053.297.588-07</v>
      </c>
      <c r="K398" s="5" t="str">
        <f>Transferencia!M398</f>
        <v>45.058.360/0001-82</v>
      </c>
      <c r="L398" s="5"/>
    </row>
    <row r="399" spans="1:12" ht="15.75" customHeight="1">
      <c r="A399" s="5" t="str">
        <f>Transferencia!A399</f>
        <v>23116473</v>
      </c>
      <c r="B399" s="5" t="str">
        <f>Transferencia!B399</f>
        <v>25/02/2025</v>
      </c>
      <c r="C399" s="5" t="str">
        <f>Transferencia!C399</f>
        <v>PEDRO HENRIQUE ESTEVES FURTADO</v>
      </c>
      <c r="D399" s="5" t="str">
        <f>Transferencia!D399</f>
        <v>safecountconsultoria@gmail.com</v>
      </c>
      <c r="E399" s="5" t="str">
        <f>Transferencia!G399</f>
        <v>55</v>
      </c>
      <c r="F399" s="5" t="str">
        <f>Transferencia!H399</f>
        <v xml:space="preserve">e-CNPJ A1 - 1 ano </v>
      </c>
      <c r="G399" s="6" t="str">
        <f>Transferencia!J399</f>
        <v>Ponto de Atendimento AR Certifast - Maua Centro/SP</v>
      </c>
      <c r="H399" s="4" t="str">
        <f>VLOOKUP(G399,Página1!G:L,6,0)</f>
        <v>Ingrid</v>
      </c>
      <c r="I399" s="4" t="s">
        <v>16</v>
      </c>
      <c r="J399" s="5" t="str">
        <f>Transferencia!L399</f>
        <v>415.892.318-21</v>
      </c>
      <c r="K399" s="5" t="str">
        <f>Transferencia!M399</f>
        <v>54.012.574/0001-09</v>
      </c>
      <c r="L399" s="5" t="s">
        <v>330</v>
      </c>
    </row>
    <row r="400" spans="1:12" ht="15.75" customHeight="1">
      <c r="A400" s="5" t="str">
        <f>Transferencia!A400</f>
        <v>23116706</v>
      </c>
      <c r="B400" s="5" t="str">
        <f>Transferencia!B400</f>
        <v>25/02/2025</v>
      </c>
      <c r="C400" s="5" t="str">
        <f>Transferencia!C400</f>
        <v>EVANDRO WILLIMANN</v>
      </c>
      <c r="D400" s="5" t="str">
        <f>Transferencia!D400</f>
        <v>evandro.willimann@gmail.com</v>
      </c>
      <c r="E400" s="5" t="str">
        <f>Transferencia!G400</f>
        <v>55</v>
      </c>
      <c r="F400" s="5" t="str">
        <f>Transferencia!H400</f>
        <v xml:space="preserve">e-CPF A1 - 1 ano </v>
      </c>
      <c r="G400" s="6" t="str">
        <f>Transferencia!J400</f>
        <v>Ponto de Atendimento AR Certifast - Maua Centro/SP</v>
      </c>
      <c r="H400" s="4" t="str">
        <f>VLOOKUP(G400,Página1!G:L,6,0)</f>
        <v>Ingrid</v>
      </c>
      <c r="I400" s="4" t="s">
        <v>16</v>
      </c>
      <c r="J400" s="5" t="str">
        <f>Transferencia!L400</f>
        <v>068.225.069-42</v>
      </c>
      <c r="K400" s="5" t="str">
        <f>Transferencia!M400</f>
        <v/>
      </c>
      <c r="L400" s="5" t="s">
        <v>331</v>
      </c>
    </row>
    <row r="401" spans="1:12" ht="15.75" customHeight="1">
      <c r="A401" s="5" t="str">
        <f>Transferencia!A401</f>
        <v>23118081</v>
      </c>
      <c r="B401" s="5" t="str">
        <f>Transferencia!B401</f>
        <v>25/02/2025</v>
      </c>
      <c r="C401" s="5" t="str">
        <f>Transferencia!C401</f>
        <v>LINDOMAR CARDOSO DA SILVA</v>
      </c>
      <c r="D401" s="5" t="str">
        <f>Transferencia!D401</f>
        <v>LINDOMAR@CARDOSOSCONSULTORIA.COM</v>
      </c>
      <c r="E401" s="5" t="str">
        <f>Transferencia!G401</f>
        <v>5511962989643</v>
      </c>
      <c r="F401" s="5" t="str">
        <f>Transferencia!H401</f>
        <v xml:space="preserve">e-CNPJ A1 - PME </v>
      </c>
      <c r="G401" s="6" t="str">
        <f>Transferencia!J401</f>
        <v>Ponto de Atendimento AR Certifast - Maua Centro/SP</v>
      </c>
      <c r="H401" s="4" t="str">
        <f>VLOOKUP(G401,Página1!G:L,6,0)</f>
        <v>Ingrid</v>
      </c>
      <c r="I401" s="4" t="s">
        <v>16</v>
      </c>
      <c r="J401" s="5" t="str">
        <f>Transferencia!L401</f>
        <v>256.354.578-19</v>
      </c>
      <c r="K401" s="5" t="str">
        <f>Transferencia!M401</f>
        <v>19.461.033/0001-67</v>
      </c>
      <c r="L401" s="5" t="s">
        <v>332</v>
      </c>
    </row>
    <row r="402" spans="1:12" ht="15.75" customHeight="1">
      <c r="A402" s="5" t="str">
        <f>Transferencia!A402</f>
        <v>23119959</v>
      </c>
      <c r="B402" s="5" t="str">
        <f>Transferencia!B402</f>
        <v>25/02/2025</v>
      </c>
      <c r="C402" s="5" t="str">
        <f>Transferencia!C402</f>
        <v>KELLER CHRISTINE PIO</v>
      </c>
      <c r="D402" s="5" t="str">
        <f>Transferencia!D402</f>
        <v>kellerchristine051@gmail.com</v>
      </c>
      <c r="E402" s="5" t="str">
        <f>Transferencia!G402</f>
        <v>5512991603516</v>
      </c>
      <c r="F402" s="5" t="str">
        <f>Transferencia!H402</f>
        <v xml:space="preserve">e-CNPJ A1 - PME </v>
      </c>
      <c r="G402" s="6" t="str">
        <f>Transferencia!J402</f>
        <v>PONTO DE ATENDIMENTO AR CERTIFAST - ANDROMEDA/SP</v>
      </c>
      <c r="H402" s="4" t="str">
        <f>VLOOKUP(G402,Página1!G:L,6,0)</f>
        <v>Rogério</v>
      </c>
      <c r="I402" s="4" t="s">
        <v>16</v>
      </c>
      <c r="J402" s="5" t="str">
        <f>Transferencia!L402</f>
        <v>051.970.088-06</v>
      </c>
      <c r="K402" s="5" t="str">
        <f>Transferencia!M402</f>
        <v>24.623.347/0001-59</v>
      </c>
      <c r="L402" s="5" t="s">
        <v>333</v>
      </c>
    </row>
    <row r="403" spans="1:12" ht="15.75" customHeight="1">
      <c r="A403" s="5" t="str">
        <f>Transferencia!A403</f>
        <v>23120917</v>
      </c>
      <c r="B403" s="5" t="str">
        <f>Transferencia!B403</f>
        <v>25/02/2025</v>
      </c>
      <c r="C403" s="5" t="str">
        <f>Transferencia!C403</f>
        <v>FABIANE PEIXOTO CRISCUOLI</v>
      </c>
      <c r="D403" s="5" t="str">
        <f>Transferencia!D403</f>
        <v>fabiane.criscuoli@intelly.com.br</v>
      </c>
      <c r="E403" s="5" t="str">
        <f>Transferencia!G403</f>
        <v>55</v>
      </c>
      <c r="F403" s="5" t="str">
        <f>Transferencia!H403</f>
        <v xml:space="preserve">e-CNPJ A1 - PME </v>
      </c>
      <c r="G403" s="6" t="str">
        <f>Transferencia!J403</f>
        <v>Ponto de Atendimento AR Certifast - Maua Centro/SP</v>
      </c>
      <c r="H403" s="4" t="str">
        <f>VLOOKUP(G403,Página1!G:L,6,0)</f>
        <v>Ingrid</v>
      </c>
      <c r="I403" s="4" t="s">
        <v>16</v>
      </c>
      <c r="J403" s="5" t="str">
        <f>Transferencia!L403</f>
        <v>732.119.070-68</v>
      </c>
      <c r="K403" s="5" t="str">
        <f>Transferencia!M403</f>
        <v>01.942.883/0001-11</v>
      </c>
      <c r="L403" s="5" t="s">
        <v>334</v>
      </c>
    </row>
    <row r="404" spans="1:12" ht="15.75" customHeight="1">
      <c r="A404" s="5" t="str">
        <f>Transferencia!A404</f>
        <v>22462702</v>
      </c>
      <c r="B404" s="5" t="str">
        <f>Transferencia!B404</f>
        <v>26/02/2025</v>
      </c>
      <c r="C404" s="5" t="str">
        <f>Transferencia!C404</f>
        <v>THIAGO ZANOTI</v>
      </c>
      <c r="D404" s="5" t="str">
        <f>Transferencia!D404</f>
        <v>jh.contabilidade@hotmail.com</v>
      </c>
      <c r="E404" s="5" t="str">
        <f>Transferencia!G404</f>
        <v>5511946981901</v>
      </c>
      <c r="F404" s="5" t="str">
        <f>Transferencia!H404</f>
        <v xml:space="preserve">e-CNPJ A1 - PME </v>
      </c>
      <c r="G404" s="6" t="str">
        <f>Transferencia!J404</f>
        <v>PONTO DE ATENDIMENTO AR CERTIFAST - ANDROMEDA/SP</v>
      </c>
      <c r="H404" s="4" t="str">
        <f>VLOOKUP(G404,Página1!G:L,6,0)</f>
        <v>Rogério</v>
      </c>
      <c r="I404" s="4" t="s">
        <v>16</v>
      </c>
      <c r="J404" s="5" t="str">
        <f>Transferencia!L404</f>
        <v>363.107.068-37</v>
      </c>
      <c r="K404" s="5" t="str">
        <f>Transferencia!M404</f>
        <v>42.611.064/0001-79</v>
      </c>
      <c r="L404" s="5" t="s">
        <v>335</v>
      </c>
    </row>
    <row r="405" spans="1:12" ht="15.75" customHeight="1">
      <c r="A405" s="5" t="str">
        <f>Transferencia!A405</f>
        <v>23065360</v>
      </c>
      <c r="B405" s="5" t="str">
        <f>Transferencia!B405</f>
        <v>26/02/2025</v>
      </c>
      <c r="C405" s="5" t="str">
        <f>Transferencia!C405</f>
        <v>ELIEL SANTOS DE SANTANA</v>
      </c>
      <c r="D405" s="5" t="str">
        <f>Transferencia!D405</f>
        <v>eliel-@hotmail.com</v>
      </c>
      <c r="E405" s="5" t="str">
        <f>Transferencia!G405</f>
        <v>5512982400603</v>
      </c>
      <c r="F405" s="5" t="str">
        <f>Transferencia!H405</f>
        <v xml:space="preserve">e-CNPJ A1 - 1 ano </v>
      </c>
      <c r="G405" s="6" t="str">
        <f>Transferencia!J405</f>
        <v>PONTO DE ATENDIMENTO AR CERTIFAST - ANDROMEDA/SP</v>
      </c>
      <c r="H405" s="4" t="str">
        <f>VLOOKUP(G405,Página1!G:L,6,0)</f>
        <v>Rogério</v>
      </c>
      <c r="I405" s="4" t="s">
        <v>16</v>
      </c>
      <c r="J405" s="5" t="str">
        <f>Transferencia!L405</f>
        <v>034.659.225-90</v>
      </c>
      <c r="K405" s="5" t="str">
        <f>Transferencia!M405</f>
        <v>48.732.629/0001-52</v>
      </c>
      <c r="L405" s="5" t="s">
        <v>336</v>
      </c>
    </row>
    <row r="406" spans="1:12" ht="15.75" customHeight="1">
      <c r="A406" s="5" t="str">
        <f>Transferencia!A406</f>
        <v>23083719</v>
      </c>
      <c r="B406" s="5" t="str">
        <f>Transferencia!B406</f>
        <v>26/02/2025</v>
      </c>
      <c r="C406" s="5" t="str">
        <f>Transferencia!C406</f>
        <v>ALEXANDRE LOPES SERAFIM</v>
      </c>
      <c r="D406" s="5" t="str">
        <f>Transferencia!D406</f>
        <v>livrosnaweb.com@gmail.com</v>
      </c>
      <c r="E406" s="5" t="str">
        <f>Transferencia!G406</f>
        <v>5531991572566</v>
      </c>
      <c r="F406" s="5" t="str">
        <f>Transferencia!H406</f>
        <v xml:space="preserve">e-CNPJ A1 - 1 ano </v>
      </c>
      <c r="G406" s="6" t="str">
        <f>Transferencia!J406</f>
        <v>Ponto de Atendimento AR Certifast - Prado BH/MG</v>
      </c>
      <c r="H406" s="4" t="str">
        <f>VLOOKUP(G406,Página1!G:L,6,0)</f>
        <v>Isabella</v>
      </c>
      <c r="I406" s="4" t="s">
        <v>16</v>
      </c>
      <c r="J406" s="5" t="str">
        <f>Transferencia!L406</f>
        <v>012.770.196-65</v>
      </c>
      <c r="K406" s="5" t="str">
        <f>Transferencia!M406</f>
        <v>09.586.600/0001-58</v>
      </c>
      <c r="L406" s="5" t="s">
        <v>337</v>
      </c>
    </row>
    <row r="407" spans="1:12" ht="15.75" customHeight="1">
      <c r="A407" s="5" t="str">
        <f>Transferencia!A407</f>
        <v>23092729</v>
      </c>
      <c r="B407" s="5" t="str">
        <f>Transferencia!B407</f>
        <v>26/02/2025</v>
      </c>
      <c r="C407" s="5" t="str">
        <f>Transferencia!C407</f>
        <v>FLAVIA COPPE CALDEIRA</v>
      </c>
      <c r="D407" s="5" t="str">
        <f>Transferencia!D407</f>
        <v>contabilidade@afccontabilsjc.com.br</v>
      </c>
      <c r="E407" s="5" t="str">
        <f>Transferencia!G407</f>
        <v>5512981194680</v>
      </c>
      <c r="F407" s="5" t="str">
        <f>Transferencia!H407</f>
        <v xml:space="preserve">e-CNPJ A1 - PME </v>
      </c>
      <c r="G407" s="6" t="str">
        <f>Transferencia!J407</f>
        <v>PONTO DE ATENDIMENTO AR CERTIFAST - ANDROMEDA/SP</v>
      </c>
      <c r="H407" s="4" t="str">
        <f>VLOOKUP(G407,Página1!G:L,6,0)</f>
        <v>Rogério</v>
      </c>
      <c r="I407" s="4" t="s">
        <v>16</v>
      </c>
      <c r="J407" s="5" t="str">
        <f>Transferencia!L407</f>
        <v>002.342.056-10</v>
      </c>
      <c r="K407" s="5" t="str">
        <f>Transferencia!M407</f>
        <v>45.052.204/0001-04</v>
      </c>
      <c r="L407" s="5" t="s">
        <v>338</v>
      </c>
    </row>
    <row r="408" spans="1:12" ht="15.75" customHeight="1">
      <c r="A408" s="5" t="str">
        <f>Transferencia!A408</f>
        <v>23094185</v>
      </c>
      <c r="B408" s="5" t="str">
        <f>Transferencia!B408</f>
        <v>26/02/2025</v>
      </c>
      <c r="C408" s="5" t="str">
        <f>Transferencia!C408</f>
        <v>VANESSA REGINA GOMES COUTO</v>
      </c>
      <c r="D408" s="5" t="str">
        <f>Transferencia!D408</f>
        <v>jh.contabilidade@hotmail.com</v>
      </c>
      <c r="E408" s="5" t="str">
        <f>Transferencia!G408</f>
        <v>5511940294629</v>
      </c>
      <c r="F408" s="5" t="str">
        <f>Transferencia!H408</f>
        <v xml:space="preserve">e-CNPJ A1 - PME </v>
      </c>
      <c r="G408" s="6" t="str">
        <f>Transferencia!J408</f>
        <v>PONTO DE ATENDIMENTO AR CERTIFAST - ANDROMEDA/SP</v>
      </c>
      <c r="H408" s="4" t="str">
        <f>VLOOKUP(G408,Página1!G:L,6,0)</f>
        <v>Rogério</v>
      </c>
      <c r="I408" s="4" t="s">
        <v>16</v>
      </c>
      <c r="J408" s="5" t="str">
        <f>Transferencia!L408</f>
        <v>295.087.098-80</v>
      </c>
      <c r="K408" s="5" t="str">
        <f>Transferencia!M408</f>
        <v>38.087.906/0001-68</v>
      </c>
      <c r="L408" s="5" t="s">
        <v>339</v>
      </c>
    </row>
    <row r="409" spans="1:12" ht="15.75" customHeight="1">
      <c r="A409" s="5" t="str">
        <f>Transferencia!A409</f>
        <v>23094206</v>
      </c>
      <c r="B409" s="5" t="str">
        <f>Transferencia!B409</f>
        <v>26/02/2025</v>
      </c>
      <c r="C409" s="5" t="str">
        <f>Transferencia!C409</f>
        <v>CARLOS ANDRE MARQUES DE FARIAS FERREIRA</v>
      </c>
      <c r="D409" s="5" t="str">
        <f>Transferencia!D409</f>
        <v>jh.contabilidade@hotmail.com</v>
      </c>
      <c r="E409" s="5" t="str">
        <f>Transferencia!G409</f>
        <v>5511976907460</v>
      </c>
      <c r="F409" s="5" t="str">
        <f>Transferencia!H409</f>
        <v xml:space="preserve">e-CNPJ A1 - PME </v>
      </c>
      <c r="G409" s="6" t="str">
        <f>Transferencia!J409</f>
        <v>PONTO DE ATENDIMENTO AR CERTIFAST - ANDROMEDA/SP</v>
      </c>
      <c r="H409" s="4" t="str">
        <f>VLOOKUP(G409,Página1!G:L,6,0)</f>
        <v>Rogério</v>
      </c>
      <c r="I409" s="4" t="s">
        <v>16</v>
      </c>
      <c r="J409" s="5" t="str">
        <f>Transferencia!L409</f>
        <v>321.555.098-98</v>
      </c>
      <c r="K409" s="5" t="str">
        <f>Transferencia!M409</f>
        <v>36.398.343/0001-01</v>
      </c>
      <c r="L409" s="5" t="s">
        <v>341</v>
      </c>
    </row>
    <row r="410" spans="1:12" ht="15.75" customHeight="1">
      <c r="A410" s="5" t="str">
        <f>Transferencia!A410</f>
        <v>23095047</v>
      </c>
      <c r="B410" s="5" t="str">
        <f>Transferencia!B410</f>
        <v>26/02/2025</v>
      </c>
      <c r="C410" s="5" t="str">
        <f>Transferencia!C410</f>
        <v>ISABEL TEIXEIRA DE SOUSA</v>
      </c>
      <c r="D410" s="5" t="str">
        <f>Transferencia!D410</f>
        <v>coord.societario@reluzcontabil.com.br</v>
      </c>
      <c r="E410" s="5" t="str">
        <f>Transferencia!G410</f>
        <v>5511940376257</v>
      </c>
      <c r="F410" s="5" t="str">
        <f>Transferencia!H410</f>
        <v xml:space="preserve">e-CPF A1 - 1 ano </v>
      </c>
      <c r="G410" s="6" t="str">
        <f>Transferencia!J410</f>
        <v>Ponto de Atendimento AR Certifast - Maua Centro/SP</v>
      </c>
      <c r="H410" s="4" t="str">
        <f>VLOOKUP(G410,Página1!G:L,6,0)</f>
        <v>Ingrid</v>
      </c>
      <c r="I410" s="4" t="s">
        <v>16</v>
      </c>
      <c r="J410" s="5" t="str">
        <f>Transferencia!L410</f>
        <v>129.113.078-01</v>
      </c>
      <c r="K410" s="5" t="str">
        <f>Transferencia!M410</f>
        <v/>
      </c>
      <c r="L410" s="5" t="s">
        <v>342</v>
      </c>
    </row>
    <row r="411" spans="1:12" ht="15.75" customHeight="1">
      <c r="A411" s="5" t="str">
        <f>Transferencia!A411</f>
        <v>23097535</v>
      </c>
      <c r="B411" s="5" t="str">
        <f>Transferencia!B411</f>
        <v>26/02/2025</v>
      </c>
      <c r="C411" s="5" t="str">
        <f>Transferencia!C411</f>
        <v>WILLIAN MARCELO COSIM</v>
      </c>
      <c r="D411" s="5" t="str">
        <f>Transferencia!D411</f>
        <v>wmzstore@hotmail.com</v>
      </c>
      <c r="E411" s="5" t="str">
        <f>Transferencia!G411</f>
        <v>55</v>
      </c>
      <c r="F411" s="5" t="str">
        <f>Transferencia!H411</f>
        <v xml:space="preserve">e-CNPJ A1 - 1 ano </v>
      </c>
      <c r="G411" s="6" t="str">
        <f>Transferencia!J411</f>
        <v>Ponto de Atendimento AR Certifast - Maua Centro/SP</v>
      </c>
      <c r="H411" s="4" t="str">
        <f>VLOOKUP(G411,Página1!G:L,6,0)</f>
        <v>Ingrid</v>
      </c>
      <c r="I411" s="4" t="s">
        <v>16</v>
      </c>
      <c r="J411" s="5" t="str">
        <f>Transferencia!L411</f>
        <v>219.070.418-93</v>
      </c>
      <c r="K411" s="5" t="str">
        <f>Transferencia!M411</f>
        <v>41.668.292/0001-12</v>
      </c>
      <c r="L411" s="5"/>
    </row>
    <row r="412" spans="1:12" ht="15.75" customHeight="1">
      <c r="A412" s="5" t="str">
        <f>Transferencia!A412</f>
        <v>23108398</v>
      </c>
      <c r="B412" s="5" t="str">
        <f>Transferencia!B412</f>
        <v>26/02/2025</v>
      </c>
      <c r="C412" s="5" t="str">
        <f>Transferencia!C412</f>
        <v>VAGNER PATINI MARTINS</v>
      </c>
      <c r="D412" s="5" t="str">
        <f>Transferencia!D412</f>
        <v>vagner@patini.adv.br</v>
      </c>
      <c r="E412" s="5" t="str">
        <f>Transferencia!G412</f>
        <v>5511983263998</v>
      </c>
      <c r="F412" s="5" t="str">
        <f>Transferencia!H412</f>
        <v xml:space="preserve">e-CPF A1 - 1 ano </v>
      </c>
      <c r="G412" s="6" t="str">
        <f>Transferencia!J412</f>
        <v>PONTO DE ATENDIMENTO AR CERTIFAST - ANDROMEDA/SP</v>
      </c>
      <c r="H412" s="4" t="str">
        <f>VLOOKUP(G412,Página1!G:L,6,0)</f>
        <v>Rogério</v>
      </c>
      <c r="I412" s="4" t="s">
        <v>16</v>
      </c>
      <c r="J412" s="5" t="str">
        <f>Transferencia!L412</f>
        <v>325.704.568-96</v>
      </c>
      <c r="K412" s="5" t="str">
        <f>Transferencia!M412</f>
        <v/>
      </c>
      <c r="L412" s="5" t="s">
        <v>343</v>
      </c>
    </row>
    <row r="413" spans="1:12" ht="15.75" customHeight="1">
      <c r="A413" s="5" t="str">
        <f>Transferencia!A413</f>
        <v>23109014</v>
      </c>
      <c r="B413" s="5" t="str">
        <f>Transferencia!B413</f>
        <v>26/02/2025</v>
      </c>
      <c r="C413" s="5" t="str">
        <f>Transferencia!C413</f>
        <v>CAIO NOGUES PETRIZ</v>
      </c>
      <c r="D413" s="5" t="str">
        <f>Transferencia!D413</f>
        <v>lider_flex@hotmail.com</v>
      </c>
      <c r="E413" s="5" t="str">
        <f>Transferencia!G413</f>
        <v>5512996459991</v>
      </c>
      <c r="F413" s="5" t="str">
        <f>Transferencia!H413</f>
        <v xml:space="preserve">e-CNPJ A1 - PME </v>
      </c>
      <c r="G413" s="6" t="str">
        <f>Transferencia!J413</f>
        <v>PONTO DE ATENDIMENTO AR CERTIFAST - ANDROMEDA/SP</v>
      </c>
      <c r="H413" s="4" t="str">
        <f>VLOOKUP(G413,Página1!G:L,6,0)</f>
        <v>Rogério</v>
      </c>
      <c r="I413" s="4" t="s">
        <v>16</v>
      </c>
      <c r="J413" s="5" t="str">
        <f>Transferencia!L413</f>
        <v>559.951.188-03</v>
      </c>
      <c r="K413" s="5" t="str">
        <f>Transferencia!M413</f>
        <v>53.980.948/0001-17</v>
      </c>
      <c r="L413" s="5" t="s">
        <v>344</v>
      </c>
    </row>
    <row r="414" spans="1:12" ht="15.75" customHeight="1">
      <c r="A414" s="5" t="str">
        <f>Transferencia!A414</f>
        <v>23114031</v>
      </c>
      <c r="B414" s="5" t="str">
        <f>Transferencia!B414</f>
        <v>26/02/2025</v>
      </c>
      <c r="C414" s="5" t="str">
        <f>Transferencia!C414</f>
        <v>LUCIO CESAR RODRIGUES MIRANDA</v>
      </c>
      <c r="D414" s="5" t="str">
        <f>Transferencia!D414</f>
        <v>luciomirandabh@hotmail.com</v>
      </c>
      <c r="E414" s="5" t="str">
        <f>Transferencia!G414</f>
        <v>5531994355975</v>
      </c>
      <c r="F414" s="5" t="str">
        <f>Transferencia!H414</f>
        <v xml:space="preserve">e-CPF A1 - 1 ano </v>
      </c>
      <c r="G414" s="6" t="str">
        <f>Transferencia!J414</f>
        <v>Ponto de Atendimento AR Certifast - Prado BH/MG</v>
      </c>
      <c r="H414" s="4" t="str">
        <f>VLOOKUP(G414,Página1!G:L,6,0)</f>
        <v>Isabella</v>
      </c>
      <c r="I414" s="4" t="s">
        <v>16</v>
      </c>
      <c r="J414" s="5" t="str">
        <f>Transferencia!L414</f>
        <v>017.297.606-51</v>
      </c>
      <c r="K414" s="5" t="str">
        <f>Transferencia!M414</f>
        <v/>
      </c>
      <c r="L414" s="5"/>
    </row>
    <row r="415" spans="1:12" ht="15.75" customHeight="1">
      <c r="A415" s="5" t="str">
        <f>Transferencia!A415</f>
        <v>23114895</v>
      </c>
      <c r="B415" s="5" t="str">
        <f>Transferencia!B415</f>
        <v>26/02/2025</v>
      </c>
      <c r="C415" s="5" t="str">
        <f>Transferencia!C415</f>
        <v>ONOZOR BUENO GONZAGA JUNIOR</v>
      </c>
      <c r="D415" s="5" t="str">
        <f>Transferencia!D415</f>
        <v>montillarestaurante325@gmail.com</v>
      </c>
      <c r="E415" s="5" t="str">
        <f>Transferencia!G415</f>
        <v>5512988731937</v>
      </c>
      <c r="F415" s="5" t="str">
        <f>Transferencia!H415</f>
        <v xml:space="preserve">e-CNPJ A1 - 1 ano </v>
      </c>
      <c r="G415" s="6" t="str">
        <f>Transferencia!J415</f>
        <v>PONTO DE ATENDIMENTO AR CERTIFAST - ANDROMEDA/SP</v>
      </c>
      <c r="H415" s="4" t="str">
        <f>VLOOKUP(G415,Página1!G:L,6,0)</f>
        <v>Rogério</v>
      </c>
      <c r="I415" s="4" t="s">
        <v>16</v>
      </c>
      <c r="J415" s="5" t="str">
        <f>Transferencia!L415</f>
        <v>311.926.658-21</v>
      </c>
      <c r="K415" s="5" t="str">
        <f>Transferencia!M415</f>
        <v>46.860.026/0001-00</v>
      </c>
      <c r="L415" s="5" t="s">
        <v>345</v>
      </c>
    </row>
    <row r="416" spans="1:12" ht="15.75" customHeight="1">
      <c r="A416" s="5" t="str">
        <f>Transferencia!A416</f>
        <v>23121540</v>
      </c>
      <c r="B416" s="5" t="str">
        <f>Transferencia!B416</f>
        <v>26/02/2025</v>
      </c>
      <c r="C416" s="5" t="str">
        <f>Transferencia!C416</f>
        <v>PAULA VANEZA DA SILVA CLEMENTINO</v>
      </c>
      <c r="D416" s="5" t="str">
        <f>Transferencia!D416</f>
        <v>blesscloset7@gmail.com</v>
      </c>
      <c r="E416" s="5" t="str">
        <f>Transferencia!G416</f>
        <v>5512991000489</v>
      </c>
      <c r="F416" s="5" t="str">
        <f>Transferencia!H416</f>
        <v xml:space="preserve">e-CNPJ A1 - 1 ano </v>
      </c>
      <c r="G416" s="6" t="str">
        <f>Transferencia!J416</f>
        <v>PONTO DE ATENDIMENTO AR CERTIFAST - ANDROMEDA/SP</v>
      </c>
      <c r="H416" s="4" t="str">
        <f>VLOOKUP(G416,Página1!G:L,6,0)</f>
        <v>Rogério</v>
      </c>
      <c r="I416" s="4" t="s">
        <v>16</v>
      </c>
      <c r="J416" s="5" t="str">
        <f>Transferencia!L416</f>
        <v>419.985.558-01</v>
      </c>
      <c r="K416" s="5" t="str">
        <f>Transferencia!M416</f>
        <v>37.717.777/0001-81</v>
      </c>
      <c r="L416" s="5" t="s">
        <v>346</v>
      </c>
    </row>
    <row r="417" spans="1:12" ht="15.75" customHeight="1">
      <c r="A417" s="5" t="str">
        <f>Transferencia!A417</f>
        <v>23121660</v>
      </c>
      <c r="B417" s="5" t="str">
        <f>Transferencia!B417</f>
        <v>26/02/2025</v>
      </c>
      <c r="C417" s="5" t="str">
        <f>Transferencia!C417</f>
        <v>MATHEUS MEDEIROS PEREIRA</v>
      </c>
      <c r="D417" s="5" t="str">
        <f>Transferencia!D417</f>
        <v>contatoemepestore@gmail.com</v>
      </c>
      <c r="E417" s="5" t="str">
        <f>Transferencia!G417</f>
        <v>5512996858442</v>
      </c>
      <c r="F417" s="5" t="str">
        <f>Transferencia!H417</f>
        <v xml:space="preserve">e-CNPJ A1 - PME </v>
      </c>
      <c r="G417" s="6" t="str">
        <f>Transferencia!J417</f>
        <v>PONTO DE ATENDIMENTO AR CERTIFAST - ANDROMEDA/SP</v>
      </c>
      <c r="H417" s="4" t="str">
        <f>VLOOKUP(G417,Página1!G:L,6,0)</f>
        <v>Rogério</v>
      </c>
      <c r="I417" s="4" t="s">
        <v>16</v>
      </c>
      <c r="J417" s="5" t="str">
        <f>Transferencia!L417</f>
        <v>074.069.031-03</v>
      </c>
      <c r="K417" s="5" t="str">
        <f>Transferencia!M417</f>
        <v>36.706.509/0001-00</v>
      </c>
      <c r="L417" s="5"/>
    </row>
    <row r="418" spans="1:12" ht="15.75" customHeight="1">
      <c r="A418" s="5" t="str">
        <f>Transferencia!A418</f>
        <v>23123188</v>
      </c>
      <c r="B418" s="5" t="str">
        <f>Transferencia!B418</f>
        <v>26/02/2025</v>
      </c>
      <c r="C418" s="5" t="str">
        <f>Transferencia!C418</f>
        <v>JORGE ARMANDO ZAIDAN</v>
      </c>
      <c r="D418" s="5" t="str">
        <f>Transferencia!D418</f>
        <v>CONTABILIDADEJAF@OUTLOOK.COM</v>
      </c>
      <c r="E418" s="5" t="str">
        <f>Transferencia!G418</f>
        <v>55</v>
      </c>
      <c r="F418" s="5" t="str">
        <f>Transferencia!H418</f>
        <v xml:space="preserve">e-CNPJ A1 - PME </v>
      </c>
      <c r="G418" s="6" t="str">
        <f>Transferencia!J418</f>
        <v>Ponto de Atendimento AR Certifast - Maua Centro/SP</v>
      </c>
      <c r="H418" s="4" t="str">
        <f>VLOOKUP(G418,Página1!G:L,6,0)</f>
        <v>Ingrid</v>
      </c>
      <c r="I418" s="4" t="s">
        <v>16</v>
      </c>
      <c r="J418" s="5" t="str">
        <f>Transferencia!L418</f>
        <v>047.560.288-96</v>
      </c>
      <c r="K418" s="5" t="str">
        <f>Transferencia!M418</f>
        <v>53.709.422/0001-05</v>
      </c>
      <c r="L418" s="5" t="s">
        <v>347</v>
      </c>
    </row>
    <row r="419" spans="1:12" ht="15.75" customHeight="1">
      <c r="A419" s="5" t="str">
        <f>Transferencia!A419</f>
        <v>23123242</v>
      </c>
      <c r="B419" s="5" t="str">
        <f>Transferencia!B419</f>
        <v>26/02/2025</v>
      </c>
      <c r="C419" s="5" t="str">
        <f>Transferencia!C419</f>
        <v>CLAUDIA REGINA RAFAEL MUNIN</v>
      </c>
      <c r="D419" s="5" t="str">
        <f>Transferencia!D419</f>
        <v>cregina3721@gmail.com</v>
      </c>
      <c r="E419" s="5" t="str">
        <f>Transferencia!G419</f>
        <v>5511974406505</v>
      </c>
      <c r="F419" s="5" t="str">
        <f>Transferencia!H419</f>
        <v xml:space="preserve">e-CNPJ A1 - 1 ano </v>
      </c>
      <c r="G419" s="6" t="str">
        <f>Transferencia!J419</f>
        <v>PONTO DE ATENDIMENTO AR CERTIFAST - CARIJOS - STA/SP</v>
      </c>
      <c r="H419" s="4" t="str">
        <f>VLOOKUP(G419,Página1!G:L,6,0)</f>
        <v>Alexandre</v>
      </c>
      <c r="I419" s="4" t="s">
        <v>16</v>
      </c>
      <c r="J419" s="5" t="str">
        <f>Transferencia!L419</f>
        <v>291.779.078-41</v>
      </c>
      <c r="K419" s="5" t="str">
        <f>Transferencia!M419</f>
        <v>45.489.620/0001-74</v>
      </c>
      <c r="L419" s="5" t="s">
        <v>348</v>
      </c>
    </row>
    <row r="420" spans="1:12" ht="15.75" customHeight="1">
      <c r="A420" s="5" t="str">
        <f>Transferencia!A420</f>
        <v>23123351</v>
      </c>
      <c r="B420" s="5" t="str">
        <f>Transferencia!B420</f>
        <v>26/02/2025</v>
      </c>
      <c r="C420" s="5" t="str">
        <f>Transferencia!C420</f>
        <v>EDINALVA DOS SANTOS ROCHA</v>
      </c>
      <c r="D420" s="5" t="str">
        <f>Transferencia!D420</f>
        <v>emissaoctes@gmail.com</v>
      </c>
      <c r="E420" s="5" t="str">
        <f>Transferencia!G420</f>
        <v>5512997957313</v>
      </c>
      <c r="F420" s="5" t="str">
        <f>Transferencia!H420</f>
        <v xml:space="preserve">e-CNPJ A1 - PME </v>
      </c>
      <c r="G420" s="6" t="str">
        <f>Transferencia!J420</f>
        <v>PONTO DE ATENDIMENTO AR CERTIFAST - ANDROMEDA/SP</v>
      </c>
      <c r="H420" s="4" t="str">
        <f>VLOOKUP(G420,Página1!G:L,6,0)</f>
        <v>Rogério</v>
      </c>
      <c r="I420" s="4" t="s">
        <v>16</v>
      </c>
      <c r="J420" s="5" t="str">
        <f>Transferencia!L420</f>
        <v>056.288.998-10</v>
      </c>
      <c r="K420" s="5" t="str">
        <f>Transferencia!M420</f>
        <v>53.946.803/0001-08</v>
      </c>
      <c r="L420" s="5" t="s">
        <v>349</v>
      </c>
    </row>
    <row r="421" spans="1:12" ht="15.75" customHeight="1">
      <c r="A421" s="5" t="str">
        <f>Transferencia!A421</f>
        <v>23123352</v>
      </c>
      <c r="B421" s="5" t="str">
        <f>Transferencia!B421</f>
        <v>26/02/2025</v>
      </c>
      <c r="C421" s="5" t="str">
        <f>Transferencia!C421</f>
        <v>LUCAS SANTOS BARBOSA</v>
      </c>
      <c r="D421" s="5" t="str">
        <f>Transferencia!D421</f>
        <v>cacolsb@hotmail.com</v>
      </c>
      <c r="E421" s="5" t="str">
        <f>Transferencia!G421</f>
        <v>5512981485077</v>
      </c>
      <c r="F421" s="5" t="str">
        <f>Transferencia!H421</f>
        <v xml:space="preserve">e-CNPJ A1 - PME </v>
      </c>
      <c r="G421" s="6" t="str">
        <f>Transferencia!J421</f>
        <v>PONTO DE ATENDIMENTO AR CERTIFAST - ANDROMEDA/SP</v>
      </c>
      <c r="H421" s="4" t="str">
        <f>VLOOKUP(G421,Página1!G:L,6,0)</f>
        <v>Rogério</v>
      </c>
      <c r="I421" s="4" t="s">
        <v>16</v>
      </c>
      <c r="J421" s="5" t="str">
        <f>Transferencia!L421</f>
        <v>392.419.858-60</v>
      </c>
      <c r="K421" s="5" t="str">
        <f>Transferencia!M421</f>
        <v>48.514.065/0001-81</v>
      </c>
      <c r="L421" s="5" t="s">
        <v>350</v>
      </c>
    </row>
    <row r="422" spans="1:12" ht="15.75" customHeight="1">
      <c r="A422" s="5" t="str">
        <f>Transferencia!A422</f>
        <v>23123798</v>
      </c>
      <c r="B422" s="5" t="str">
        <f>Transferencia!B422</f>
        <v>26/02/2025</v>
      </c>
      <c r="C422" s="5" t="str">
        <f>Transferencia!C422</f>
        <v>ANDREA ARAUJO CUNHA GOMES</v>
      </c>
      <c r="D422" s="5" t="str">
        <f>Transferencia!D422</f>
        <v>CONTABILIDADEJAF@OUTLOOK.COM</v>
      </c>
      <c r="E422" s="5" t="str">
        <f>Transferencia!G422</f>
        <v>55</v>
      </c>
      <c r="F422" s="5" t="str">
        <f>Transferencia!H422</f>
        <v xml:space="preserve">e-CPF A1 - 1 ano </v>
      </c>
      <c r="G422" s="6" t="str">
        <f>Transferencia!J422</f>
        <v>Ponto de Atendimento AR Certifast - Maua Centro/SP</v>
      </c>
      <c r="H422" s="4" t="str">
        <f>VLOOKUP(G422,Página1!G:L,6,0)</f>
        <v>Ingrid</v>
      </c>
      <c r="I422" s="4" t="s">
        <v>16</v>
      </c>
      <c r="J422" s="5" t="str">
        <f>Transferencia!L422</f>
        <v>025.225.554-21</v>
      </c>
      <c r="K422" s="5" t="str">
        <f>Transferencia!M422</f>
        <v/>
      </c>
      <c r="L422" s="5" t="s">
        <v>351</v>
      </c>
    </row>
    <row r="423" spans="1:12" ht="15.75" customHeight="1">
      <c r="A423" s="5" t="str">
        <f>Transferencia!A423</f>
        <v>23124334</v>
      </c>
      <c r="B423" s="5" t="str">
        <f>Transferencia!B423</f>
        <v>26/02/2025</v>
      </c>
      <c r="C423" s="5" t="str">
        <f>Transferencia!C423</f>
        <v>MAICON ROBERTO KLEIN</v>
      </c>
      <c r="D423" s="5" t="str">
        <f>Transferencia!D423</f>
        <v>klein.motors@outlook.com</v>
      </c>
      <c r="E423" s="5" t="str">
        <f>Transferencia!G423</f>
        <v>5512991461362</v>
      </c>
      <c r="F423" s="5" t="str">
        <f>Transferencia!H423</f>
        <v xml:space="preserve">e-CNPJ A1 - PME </v>
      </c>
      <c r="G423" s="6" t="str">
        <f>Transferencia!J423</f>
        <v>PONTO DE ATENDIMENTO AR CERTIFAST - ANDROMEDA/SP</v>
      </c>
      <c r="H423" s="4" t="str">
        <f>VLOOKUP(G423,Página1!G:L,6,0)</f>
        <v>Rogério</v>
      </c>
      <c r="I423" s="4" t="s">
        <v>16</v>
      </c>
      <c r="J423" s="5" t="str">
        <f>Transferencia!L423</f>
        <v>013.812.640-26</v>
      </c>
      <c r="K423" s="5" t="str">
        <f>Transferencia!M423</f>
        <v>33.259.791/0001-28</v>
      </c>
      <c r="L423" s="5" t="s">
        <v>352</v>
      </c>
    </row>
    <row r="424" spans="1:12" ht="15.75" customHeight="1">
      <c r="A424" s="5" t="str">
        <f>Transferencia!A424</f>
        <v>23125458</v>
      </c>
      <c r="B424" s="5" t="str">
        <f>Transferencia!B424</f>
        <v>26/02/2025</v>
      </c>
      <c r="C424" s="5" t="str">
        <f>Transferencia!C424</f>
        <v>ALEX TENORIO DE ASSIS</v>
      </c>
      <c r="D424" s="5" t="str">
        <f>Transferencia!D424</f>
        <v>alex.tenorio@hmfsconsulting.com.br</v>
      </c>
      <c r="E424" s="5" t="str">
        <f>Transferencia!G424</f>
        <v>55</v>
      </c>
      <c r="F424" s="5" t="str">
        <f>Transferencia!H424</f>
        <v xml:space="preserve"> NF-e A1 PJ - 1 ano - AC BR RFB</v>
      </c>
      <c r="G424" s="6" t="str">
        <f>Transferencia!J424</f>
        <v>AR Certifast</v>
      </c>
      <c r="H424" s="4" t="str">
        <f>VLOOKUP(G424,Página1!G:L,6,0)</f>
        <v>Alexandre</v>
      </c>
      <c r="I424" s="4" t="s">
        <v>16</v>
      </c>
      <c r="J424" s="5" t="str">
        <f>Transferencia!L424</f>
        <v>364.638.988-56</v>
      </c>
      <c r="K424" s="5" t="str">
        <f>Transferencia!M424</f>
        <v>15.572.650/0001-89</v>
      </c>
      <c r="L424" s="5" t="s">
        <v>353</v>
      </c>
    </row>
    <row r="425" spans="1:12" ht="15.75" customHeight="1">
      <c r="A425" s="5" t="str">
        <f>Transferencia!A425</f>
        <v>23125914</v>
      </c>
      <c r="B425" s="5" t="str">
        <f>Transferencia!B425</f>
        <v>26/02/2025</v>
      </c>
      <c r="C425" s="5" t="str">
        <f>Transferencia!C425</f>
        <v>DONIZETE FERREIRA DOS SANTOS JUNIOR</v>
      </c>
      <c r="D425" s="5" t="str">
        <f>Transferencia!D425</f>
        <v>fernandamadona3@gmail.com</v>
      </c>
      <c r="E425" s="5" t="str">
        <f>Transferencia!G425</f>
        <v>5512991053924</v>
      </c>
      <c r="F425" s="5" t="str">
        <f>Transferencia!H425</f>
        <v xml:space="preserve">e-CNPJ A1 - 1 ano </v>
      </c>
      <c r="G425" s="6" t="str">
        <f>Transferencia!J425</f>
        <v>PONTO DE ATENDIMENTO AR CERTIFAST - ANDROMEDA/SP</v>
      </c>
      <c r="H425" s="4" t="str">
        <f>VLOOKUP(G425,Página1!G:L,6,0)</f>
        <v>Rogério</v>
      </c>
      <c r="I425" s="4" t="s">
        <v>16</v>
      </c>
      <c r="J425" s="5" t="str">
        <f>Transferencia!L425</f>
        <v>389.898.588-10</v>
      </c>
      <c r="K425" s="5" t="str">
        <f>Transferencia!M425</f>
        <v>32.533.257/0001-03</v>
      </c>
      <c r="L425" s="5" t="s">
        <v>354</v>
      </c>
    </row>
    <row r="426" spans="1:12" ht="15.75" customHeight="1">
      <c r="A426" s="5" t="str">
        <f>Transferencia!A426</f>
        <v>23126306</v>
      </c>
      <c r="B426" s="5" t="str">
        <f>Transferencia!B426</f>
        <v>26/02/2025</v>
      </c>
      <c r="C426" s="5" t="str">
        <f>Transferencia!C426</f>
        <v>LUCIANO ANGELO PEREIRA</v>
      </c>
      <c r="D426" s="5" t="str">
        <f>Transferencia!D426</f>
        <v>lucianoanper@gmail.com</v>
      </c>
      <c r="E426" s="5" t="str">
        <f>Transferencia!G426</f>
        <v>55</v>
      </c>
      <c r="F426" s="5" t="str">
        <f>Transferencia!H426</f>
        <v xml:space="preserve">e-CNPJ A1 - 1 ano </v>
      </c>
      <c r="G426" s="6" t="str">
        <f>Transferencia!J426</f>
        <v>AR Certifast</v>
      </c>
      <c r="H426" s="4" t="str">
        <f>VLOOKUP(G426,Página1!G:L,6,0)</f>
        <v>Alexandre</v>
      </c>
      <c r="I426" s="4" t="s">
        <v>16</v>
      </c>
      <c r="J426" s="5" t="str">
        <f>Transferencia!L426</f>
        <v>222.335.108-52</v>
      </c>
      <c r="K426" s="5" t="str">
        <f>Transferencia!M426</f>
        <v>32.732.469/0001-01</v>
      </c>
      <c r="L426" s="5"/>
    </row>
    <row r="427" spans="1:12" ht="15.75" customHeight="1">
      <c r="A427" s="5" t="str">
        <f>Transferencia!A427</f>
        <v>23126482</v>
      </c>
      <c r="B427" s="5" t="str">
        <f>Transferencia!B427</f>
        <v>26/02/2025</v>
      </c>
      <c r="C427" s="5" t="str">
        <f>Transferencia!C427</f>
        <v>RAIMUNDO ENIO SILVA BARBOSA</v>
      </c>
      <c r="D427" s="5" t="str">
        <f>Transferencia!D427</f>
        <v>luisfiuza@yahoo.com.br</v>
      </c>
      <c r="E427" s="5" t="str">
        <f>Transferencia!G427</f>
        <v>55</v>
      </c>
      <c r="F427" s="5" t="str">
        <f>Transferencia!H427</f>
        <v xml:space="preserve">e-CNPJ A1 - PME </v>
      </c>
      <c r="G427" s="6" t="str">
        <f>Transferencia!J427</f>
        <v>AR Certifast</v>
      </c>
      <c r="H427" s="4" t="str">
        <f>VLOOKUP(G427,Página1!G:L,6,0)</f>
        <v>Alexandre</v>
      </c>
      <c r="I427" s="4" t="s">
        <v>16</v>
      </c>
      <c r="J427" s="5" t="str">
        <f>Transferencia!L427</f>
        <v>177.421.448-24</v>
      </c>
      <c r="K427" s="5" t="str">
        <f>Transferencia!M427</f>
        <v>45.320.049/0001-60</v>
      </c>
      <c r="L427" s="5" t="s">
        <v>355</v>
      </c>
    </row>
    <row r="428" spans="1:12" ht="15.75" customHeight="1">
      <c r="A428" s="5" t="str">
        <f>Transferencia!A428</f>
        <v>23126542</v>
      </c>
      <c r="B428" s="5" t="str">
        <f>Transferencia!B428</f>
        <v>26/02/2025</v>
      </c>
      <c r="C428" s="5" t="str">
        <f>Transferencia!C428</f>
        <v>YRIA FREITAS TANTALO</v>
      </c>
      <c r="D428" s="5" t="str">
        <f>Transferencia!D428</f>
        <v>yriatandel@gmail.com</v>
      </c>
      <c r="E428" s="5" t="str">
        <f>Transferencia!G428</f>
        <v>55</v>
      </c>
      <c r="F428" s="5" t="str">
        <f>Transferencia!H428</f>
        <v xml:space="preserve">e-CPF A1 - 1 ano </v>
      </c>
      <c r="G428" s="6" t="str">
        <f>Transferencia!J428</f>
        <v>AR Certifast</v>
      </c>
      <c r="H428" s="4" t="str">
        <f>VLOOKUP(G428,Página1!G:L,6,0)</f>
        <v>Alexandre</v>
      </c>
      <c r="I428" s="4" t="s">
        <v>16</v>
      </c>
      <c r="J428" s="5" t="str">
        <f>Transferencia!L428</f>
        <v>450.168.418-61</v>
      </c>
      <c r="K428" s="5" t="str">
        <f>Transferencia!M428</f>
        <v/>
      </c>
      <c r="L428" s="5" t="s">
        <v>358</v>
      </c>
    </row>
    <row r="429" spans="1:12" ht="15.75" customHeight="1">
      <c r="A429" s="5" t="str">
        <f>Transferencia!A429</f>
        <v>23127468</v>
      </c>
      <c r="B429" s="5" t="str">
        <f>Transferencia!B429</f>
        <v>26/02/2025</v>
      </c>
      <c r="C429" s="5" t="str">
        <f>Transferencia!C429</f>
        <v>CLERMONT CINTRA DE OLIVEIRA</v>
      </c>
      <c r="D429" s="5" t="str">
        <f>Transferencia!D429</f>
        <v>contato@clermontcintra.com</v>
      </c>
      <c r="E429" s="5" t="str">
        <f>Transferencia!G429</f>
        <v>5531991842447</v>
      </c>
      <c r="F429" s="5" t="str">
        <f>Transferencia!H429</f>
        <v xml:space="preserve">e-CNPJ A1 - PME </v>
      </c>
      <c r="G429" s="6" t="str">
        <f>Transferencia!J429</f>
        <v>Ponto de Atendimento AR Certifast - Prado BH/MG</v>
      </c>
      <c r="H429" s="4" t="str">
        <f>VLOOKUP(G429,Página1!G:L,6,0)</f>
        <v>Isabella</v>
      </c>
      <c r="I429" s="4" t="s">
        <v>16</v>
      </c>
      <c r="J429" s="5" t="str">
        <f>Transferencia!L429</f>
        <v>046.201.716-89</v>
      </c>
      <c r="K429" s="5" t="str">
        <f>Transferencia!M429</f>
        <v>14.059.175/0001-89</v>
      </c>
      <c r="L429" s="5" t="s">
        <v>359</v>
      </c>
    </row>
    <row r="430" spans="1:12" ht="15.75" customHeight="1">
      <c r="A430" s="5" t="str">
        <f>Transferencia!A430</f>
        <v>20031545</v>
      </c>
      <c r="B430" s="5" t="str">
        <f>Transferencia!B430</f>
        <v>27/02/2025</v>
      </c>
      <c r="C430" s="5" t="str">
        <f>Transferencia!C430</f>
        <v>IVAN CHAKKOUR</v>
      </c>
      <c r="D430" s="5" t="str">
        <f>Transferencia!D430</f>
        <v>dramarialuiza@uol.com.br</v>
      </c>
      <c r="E430" s="5" t="str">
        <f>Transferencia!G430</f>
        <v>5511999353415</v>
      </c>
      <c r="F430" s="5" t="str">
        <f>Transferencia!H430</f>
        <v xml:space="preserve">e-CNPJ A3 </v>
      </c>
      <c r="G430" s="6" t="str">
        <f>Transferencia!J430</f>
        <v>AR Certifast</v>
      </c>
      <c r="H430" s="4" t="str">
        <f>VLOOKUP(G430,Página1!G:L,6,0)</f>
        <v>Alexandre</v>
      </c>
      <c r="I430" s="4" t="s">
        <v>16</v>
      </c>
      <c r="J430" s="5" t="str">
        <f>Transferencia!L430</f>
        <v>047.466.018-44</v>
      </c>
      <c r="K430" s="5" t="str">
        <f>Transferencia!M430</f>
        <v>03.570.392/0001-12</v>
      </c>
      <c r="L430" s="5" t="s">
        <v>360</v>
      </c>
    </row>
    <row r="431" spans="1:12" ht="15.75" customHeight="1">
      <c r="A431" s="5" t="str">
        <f>Transferencia!A431</f>
        <v>20079122</v>
      </c>
      <c r="B431" s="5" t="str">
        <f>Transferencia!B431</f>
        <v>27/02/2025</v>
      </c>
      <c r="C431" s="5" t="str">
        <f>Transferencia!C431</f>
        <v>JOAO EVANGELISTA MACEDO</v>
      </c>
      <c r="D431" s="5" t="str">
        <f>Transferencia!D431</f>
        <v>escaputinga@gmail.com</v>
      </c>
      <c r="E431" s="5" t="str">
        <f>Transferencia!G431</f>
        <v>551144614176</v>
      </c>
      <c r="F431" s="5" t="str">
        <f>Transferencia!H431</f>
        <v xml:space="preserve">e-CNPJ A3 - 3 anos </v>
      </c>
      <c r="G431" s="6" t="str">
        <f>Transferencia!J431</f>
        <v>PONTO DE ATENDIMENTO AR CERTIFAST - CWM/SP</v>
      </c>
      <c r="H431" s="4" t="e">
        <f>VLOOKUP(G431,Página1!G:L,6,0)</f>
        <v>#N/A</v>
      </c>
      <c r="I431" s="4" t="s">
        <v>16</v>
      </c>
      <c r="J431" s="5" t="str">
        <f>Transferencia!L431</f>
        <v>186.779.388-18</v>
      </c>
      <c r="K431" s="5" t="str">
        <f>Transferencia!M431</f>
        <v>03.231.913/0001-07</v>
      </c>
      <c r="L431" s="5" t="s">
        <v>361</v>
      </c>
    </row>
    <row r="432" spans="1:12" ht="15.75" customHeight="1">
      <c r="A432" s="5" t="str">
        <f>Transferencia!A432</f>
        <v>20132712</v>
      </c>
      <c r="B432" s="5" t="str">
        <f>Transferencia!B432</f>
        <v>27/02/2025</v>
      </c>
      <c r="C432" s="5" t="str">
        <f>Transferencia!C432</f>
        <v>LEONARDO COELHO DA FONSECA MACHADO</v>
      </c>
      <c r="D432" s="5" t="str">
        <f>Transferencia!D432</f>
        <v>joyce@lcfm.com.br</v>
      </c>
      <c r="E432" s="5" t="str">
        <f>Transferencia!G432</f>
        <v>5511999571753</v>
      </c>
      <c r="F432" s="5" t="str">
        <f>Transferencia!H432</f>
        <v>e-CNPJ A3</v>
      </c>
      <c r="G432" s="6" t="str">
        <f>Transferencia!J432</f>
        <v>Ponto de Atendimento AR Certifast - Jundiai Centro/SP</v>
      </c>
      <c r="H432" s="4" t="str">
        <f>VLOOKUP(G432,Página1!G:L,6,0)</f>
        <v>Alexandre</v>
      </c>
      <c r="I432" s="4" t="s">
        <v>16</v>
      </c>
      <c r="J432" s="5" t="str">
        <f>Transferencia!L432</f>
        <v>303.189.428-60</v>
      </c>
      <c r="K432" s="5" t="str">
        <f>Transferencia!M432</f>
        <v>28.971.859/0001-67</v>
      </c>
      <c r="L432" s="5" t="s">
        <v>364</v>
      </c>
    </row>
    <row r="433" spans="1:12" ht="15.75" customHeight="1">
      <c r="A433" s="5" t="str">
        <f>Transferencia!A433</f>
        <v>22425872</v>
      </c>
      <c r="B433" s="5" t="str">
        <f>Transferencia!B433</f>
        <v>27/02/2025</v>
      </c>
      <c r="C433" s="5" t="str">
        <f>Transferencia!C433</f>
        <v>LARISSA SUELLEN BATISTA PIRES</v>
      </c>
      <c r="D433" s="5" t="str">
        <f>Transferencia!D433</f>
        <v>contabilcaroto@gmail.com</v>
      </c>
      <c r="E433" s="5" t="str">
        <f>Transferencia!G433</f>
        <v>55</v>
      </c>
      <c r="F433" s="5" t="str">
        <f>Transferencia!H433</f>
        <v xml:space="preserve">e-CNPJ A3 - PME - 18 meses </v>
      </c>
      <c r="G433" s="6" t="str">
        <f>Transferencia!J433</f>
        <v>Ponto de Atendimento AR Certifast - Maua Centro/SP</v>
      </c>
      <c r="H433" s="4" t="str">
        <f>VLOOKUP(G433,Página1!G:L,6,0)</f>
        <v>Ingrid</v>
      </c>
      <c r="I433" s="4" t="s">
        <v>16</v>
      </c>
      <c r="J433" s="5" t="str">
        <f>Transferencia!L433</f>
        <v>355.549.778-20</v>
      </c>
      <c r="K433" s="5" t="str">
        <f>Transferencia!M433</f>
        <v>38.181.580/0001-33</v>
      </c>
      <c r="L433" s="5" t="s">
        <v>365</v>
      </c>
    </row>
    <row r="434" spans="1:12" ht="15.75" customHeight="1">
      <c r="A434" s="5" t="str">
        <f>Transferencia!A434</f>
        <v>22890396</v>
      </c>
      <c r="B434" s="5" t="str">
        <f>Transferencia!B434</f>
        <v>27/02/2025</v>
      </c>
      <c r="C434" s="5" t="str">
        <f>Transferencia!C434</f>
        <v>MARCUS VINICIUS MERLO DANTAS</v>
      </c>
      <c r="D434" s="5" t="str">
        <f>Transferencia!D434</f>
        <v>suporte3@pingpao.com.br</v>
      </c>
      <c r="E434" s="5" t="str">
        <f>Transferencia!G434</f>
        <v>5531997905737</v>
      </c>
      <c r="F434" s="5" t="str">
        <f>Transferencia!H434</f>
        <v xml:space="preserve">e-CNPJ A1 - PME </v>
      </c>
      <c r="G434" s="6" t="str">
        <f>Transferencia!J434</f>
        <v>Ponto de Atendimento AR Certifast - Prado BH/MG</v>
      </c>
      <c r="H434" s="4" t="str">
        <f>VLOOKUP(G434,Página1!G:L,6,0)</f>
        <v>Isabella</v>
      </c>
      <c r="I434" s="4" t="s">
        <v>16</v>
      </c>
      <c r="J434" s="5" t="str">
        <f>Transferencia!L434</f>
        <v>091.229.066-81</v>
      </c>
      <c r="K434" s="5" t="str">
        <f>Transferencia!M434</f>
        <v>17.078.171/0001-36</v>
      </c>
      <c r="L434" s="5" t="s">
        <v>366</v>
      </c>
    </row>
    <row r="435" spans="1:12" ht="15.75" customHeight="1">
      <c r="A435" s="5" t="str">
        <f>Transferencia!A435</f>
        <v>23083906</v>
      </c>
      <c r="B435" s="5" t="str">
        <f>Transferencia!B435</f>
        <v>27/02/2025</v>
      </c>
      <c r="C435" s="5" t="str">
        <f>Transferencia!C435</f>
        <v>MARIANA MERLO DANTAS</v>
      </c>
      <c r="D435" s="5" t="str">
        <f>Transferencia!D435</f>
        <v>suporte3@pingpao.com.br</v>
      </c>
      <c r="E435" s="5" t="str">
        <f>Transferencia!G435</f>
        <v>5531998449020</v>
      </c>
      <c r="F435" s="5" t="str">
        <f>Transferencia!H435</f>
        <v xml:space="preserve">e-CNPJ A1 - PME </v>
      </c>
      <c r="G435" s="6" t="str">
        <f>Transferencia!J435</f>
        <v>Ponto de Atendimento AR Certifast - Prado BH/MG</v>
      </c>
      <c r="H435" s="4" t="str">
        <f>VLOOKUP(G435,Página1!G:L,6,0)</f>
        <v>Isabella</v>
      </c>
      <c r="I435" s="4" t="s">
        <v>16</v>
      </c>
      <c r="J435" s="5" t="str">
        <f>Transferencia!L435</f>
        <v>074.589.966-84</v>
      </c>
      <c r="K435" s="5" t="str">
        <f>Transferencia!M435</f>
        <v>10.427.984/0001-45</v>
      </c>
      <c r="L435" s="5" t="s">
        <v>367</v>
      </c>
    </row>
    <row r="436" spans="1:12" ht="15.75" customHeight="1">
      <c r="A436" s="5" t="str">
        <f>Transferencia!A436</f>
        <v>23107586</v>
      </c>
      <c r="B436" s="5" t="str">
        <f>Transferencia!B436</f>
        <v>27/02/2025</v>
      </c>
      <c r="C436" s="5" t="str">
        <f>Transferencia!C436</f>
        <v>FABIO ROBERTO DA SILVA BAPTISTA</v>
      </c>
      <c r="D436" s="5" t="str">
        <f>Transferencia!D436</f>
        <v>lucia.santos@unimedsjc.coop.br</v>
      </c>
      <c r="E436" s="5" t="str">
        <f>Transferencia!G436</f>
        <v>5512991367959</v>
      </c>
      <c r="F436" s="5" t="str">
        <f>Transferencia!H436</f>
        <v xml:space="preserve">e-CNPJ A1 - 1 ano </v>
      </c>
      <c r="G436" s="6" t="str">
        <f>Transferencia!J436</f>
        <v>PONTO DE ATENDIMENTO AR CERTIFAST - ANDROMEDA/SP</v>
      </c>
      <c r="H436" s="4" t="str">
        <f>VLOOKUP(G436,Página1!G:L,6,0)</f>
        <v>Rogério</v>
      </c>
      <c r="I436" s="4" t="s">
        <v>16</v>
      </c>
      <c r="J436" s="5" t="str">
        <f>Transferencia!L436</f>
        <v>074.871.258-58</v>
      </c>
      <c r="K436" s="5" t="str">
        <f>Transferencia!M436</f>
        <v>60.214.517/0001-05</v>
      </c>
      <c r="L436" s="5" t="s">
        <v>368</v>
      </c>
    </row>
    <row r="437" spans="1:12" ht="15.75" customHeight="1">
      <c r="A437" s="5" t="str">
        <f>Transferencia!A437</f>
        <v>23118057</v>
      </c>
      <c r="B437" s="5" t="str">
        <f>Transferencia!B437</f>
        <v>27/02/2025</v>
      </c>
      <c r="C437" s="5" t="str">
        <f>Transferencia!C437</f>
        <v>RICARDO CESAR HUBER PINTO</v>
      </c>
      <c r="D437" s="5" t="str">
        <f>Transferencia!D437</f>
        <v>rchuber@uol.com.br</v>
      </c>
      <c r="E437" s="5" t="str">
        <f>Transferencia!G437</f>
        <v>5512981416805</v>
      </c>
      <c r="F437" s="5" t="str">
        <f>Transferencia!H437</f>
        <v xml:space="preserve">e-CPF A1 - Mobile </v>
      </c>
      <c r="G437" s="6" t="str">
        <f>Transferencia!J437</f>
        <v>PONTO DE ATENDIMENTO AR CERTIFAST - ANDROMEDA/SP</v>
      </c>
      <c r="H437" s="4" t="str">
        <f>VLOOKUP(G437,Página1!G:L,6,0)</f>
        <v>Rogério</v>
      </c>
      <c r="I437" s="4" t="s">
        <v>16</v>
      </c>
      <c r="J437" s="5" t="str">
        <f>Transferencia!L437</f>
        <v>288.219.188-07</v>
      </c>
      <c r="K437" s="5" t="str">
        <f>Transferencia!M437</f>
        <v/>
      </c>
      <c r="L437" s="5" t="s">
        <v>369</v>
      </c>
    </row>
    <row r="438" spans="1:12" ht="15.75" customHeight="1">
      <c r="A438" s="5" t="str">
        <f>Transferencia!A438</f>
        <v>23118493</v>
      </c>
      <c r="B438" s="5" t="str">
        <f>Transferencia!B438</f>
        <v>27/02/2025</v>
      </c>
      <c r="C438" s="5" t="str">
        <f>Transferencia!C438</f>
        <v>PEDRO AMAURI MARQUES JUNIOR</v>
      </c>
      <c r="D438" s="5" t="str">
        <f>Transferencia!D438</f>
        <v>cota@puremedical.com.br</v>
      </c>
      <c r="E438" s="5" t="str">
        <f>Transferencia!G438</f>
        <v>5512982594405</v>
      </c>
      <c r="F438" s="5" t="str">
        <f>Transferencia!H438</f>
        <v xml:space="preserve">e-CNPJ A1 - PME </v>
      </c>
      <c r="G438" s="6" t="str">
        <f>Transferencia!J438</f>
        <v>PONTO DE ATENDIMENTO AR CERTIFAST - ANDROMEDA/SP</v>
      </c>
      <c r="H438" s="4" t="str">
        <f>VLOOKUP(G438,Página1!G:L,6,0)</f>
        <v>Rogério</v>
      </c>
      <c r="I438" s="4" t="s">
        <v>16</v>
      </c>
      <c r="J438" s="5" t="str">
        <f>Transferencia!L438</f>
        <v>374.062.888-08</v>
      </c>
      <c r="K438" s="5" t="str">
        <f>Transferencia!M438</f>
        <v>41.466.869/0001-03</v>
      </c>
      <c r="L438" s="5" t="s">
        <v>370</v>
      </c>
    </row>
    <row r="439" spans="1:12" ht="15.75" customHeight="1">
      <c r="A439" s="5" t="str">
        <f>Transferencia!A439</f>
        <v>23123185</v>
      </c>
      <c r="B439" s="5" t="str">
        <f>Transferencia!B439</f>
        <v>27/02/2025</v>
      </c>
      <c r="C439" s="5" t="str">
        <f>Transferencia!C439</f>
        <v>LUIZ ROBERTO DE FARIA</v>
      </c>
      <c r="D439" s="5" t="str">
        <f>Transferencia!D439</f>
        <v>luiz.roberto.faria@gmail.com</v>
      </c>
      <c r="E439" s="5" t="str">
        <f>Transferencia!G439</f>
        <v>5512981133910</v>
      </c>
      <c r="F439" s="5" t="str">
        <f>Transferencia!H439</f>
        <v xml:space="preserve">e-CNPJ A1 - PME </v>
      </c>
      <c r="G439" s="6" t="str">
        <f>Transferencia!J439</f>
        <v>PONTO DE ATENDIMENTO AR CERTIFAST - ANDROMEDA/SP</v>
      </c>
      <c r="H439" s="4" t="str">
        <f>VLOOKUP(G439,Página1!G:L,6,0)</f>
        <v>Rogério</v>
      </c>
      <c r="I439" s="4" t="s">
        <v>16</v>
      </c>
      <c r="J439" s="5" t="str">
        <f>Transferencia!L439</f>
        <v>183.795.698-73</v>
      </c>
      <c r="K439" s="5" t="str">
        <f>Transferencia!M439</f>
        <v>28.904.205/0001-10</v>
      </c>
      <c r="L439" s="5" t="s">
        <v>371</v>
      </c>
    </row>
    <row r="440" spans="1:12" ht="15.75" customHeight="1">
      <c r="A440" s="5" t="str">
        <f>Transferencia!A440</f>
        <v>23129227</v>
      </c>
      <c r="B440" s="5" t="str">
        <f>Transferencia!B440</f>
        <v>27/02/2025</v>
      </c>
      <c r="C440" s="5" t="str">
        <f>Transferencia!C440</f>
        <v>HEBERTY VIEIRA MATOS</v>
      </c>
      <c r="D440" s="5" t="str">
        <f>Transferencia!D440</f>
        <v>unnopaes@gmail.com</v>
      </c>
      <c r="E440" s="5" t="str">
        <f>Transferencia!G440</f>
        <v>5531995390627</v>
      </c>
      <c r="F440" s="5" t="str">
        <f>Transferencia!H440</f>
        <v xml:space="preserve">e-CNPJ A1 - PME </v>
      </c>
      <c r="G440" s="6" t="str">
        <f>Transferencia!J440</f>
        <v>Ponto de Atendimento AR Certifast - Prado BH/MG</v>
      </c>
      <c r="H440" s="4" t="str">
        <f>VLOOKUP(G440,Página1!G:L,6,0)</f>
        <v>Isabella</v>
      </c>
      <c r="I440" s="4" t="s">
        <v>16</v>
      </c>
      <c r="J440" s="5" t="str">
        <f>Transferencia!L440</f>
        <v>372.495.176-00</v>
      </c>
      <c r="K440" s="5" t="str">
        <f>Transferencia!M440</f>
        <v>01.291.292/0001-21</v>
      </c>
      <c r="L440" s="5" t="s">
        <v>372</v>
      </c>
    </row>
    <row r="441" spans="1:12" ht="15.75" customHeight="1">
      <c r="A441" s="5" t="str">
        <f>Transferencia!A441</f>
        <v>23129348</v>
      </c>
      <c r="B441" s="5" t="str">
        <f>Transferencia!B441</f>
        <v>27/02/2025</v>
      </c>
      <c r="C441" s="5" t="str">
        <f>Transferencia!C441</f>
        <v>IGOR CARDOSO MEDEIROS</v>
      </c>
      <c r="D441" s="5" t="str">
        <f>Transferencia!D441</f>
        <v>igor.medeiros@ferk.com.br</v>
      </c>
      <c r="E441" s="5" t="str">
        <f>Transferencia!G441</f>
        <v>5551993925401</v>
      </c>
      <c r="F441" s="5" t="str">
        <f>Transferencia!H441</f>
        <v xml:space="preserve">e-CPF A1 - 1 ano </v>
      </c>
      <c r="G441" s="6" t="str">
        <f>Transferencia!J441</f>
        <v>Ponto de Atendimento AR Certifast - Prado BH/MG</v>
      </c>
      <c r="H441" s="4" t="str">
        <f>VLOOKUP(G441,Página1!G:L,6,0)</f>
        <v>Isabella</v>
      </c>
      <c r="I441" s="4" t="s">
        <v>16</v>
      </c>
      <c r="J441" s="5" t="str">
        <f>Transferencia!L441</f>
        <v>977.698.430-49</v>
      </c>
      <c r="K441" s="5" t="str">
        <f>Transferencia!M441</f>
        <v/>
      </c>
      <c r="L441" s="5" t="s">
        <v>373</v>
      </c>
    </row>
    <row r="442" spans="1:12" ht="15.75" customHeight="1">
      <c r="A442" s="5" t="str">
        <f>Transferencia!A442</f>
        <v>23130356</v>
      </c>
      <c r="B442" s="5" t="str">
        <f>Transferencia!B442</f>
        <v>27/02/2025</v>
      </c>
      <c r="C442" s="5" t="str">
        <f>Transferencia!C442</f>
        <v>CLAUDIA ALVES DE OLIVEIRA SANTOS</v>
      </c>
      <c r="D442" s="5" t="str">
        <f>Transferencia!D442</f>
        <v>alexandre@relevantecontabil.com.br</v>
      </c>
      <c r="E442" s="5" t="str">
        <f>Transferencia!G442</f>
        <v>5511942823578</v>
      </c>
      <c r="F442" s="5" t="str">
        <f>Transferencia!H442</f>
        <v xml:space="preserve">e-CNPJ A1 - PME </v>
      </c>
      <c r="G442" s="6" t="str">
        <f>Transferencia!J442</f>
        <v>PONTO DE ATENDIMENTO AR CERTIFAST - ANDROMEDA/SP</v>
      </c>
      <c r="H442" s="4" t="str">
        <f>VLOOKUP(G442,Página1!G:L,6,0)</f>
        <v>Rogério</v>
      </c>
      <c r="I442" s="4" t="s">
        <v>16</v>
      </c>
      <c r="J442" s="5" t="str">
        <f>Transferencia!L442</f>
        <v>074.746.738-27</v>
      </c>
      <c r="K442" s="5" t="str">
        <f>Transferencia!M442</f>
        <v>54.082.827/0001-10</v>
      </c>
      <c r="L442" s="5" t="s">
        <v>374</v>
      </c>
    </row>
    <row r="443" spans="1:12" ht="15.75" customHeight="1">
      <c r="A443" s="5" t="str">
        <f>Transferencia!A443</f>
        <v>23131408</v>
      </c>
      <c r="B443" s="5" t="str">
        <f>Transferencia!B443</f>
        <v>27/02/2025</v>
      </c>
      <c r="C443" s="5" t="str">
        <f>Transferencia!C443</f>
        <v>LAIS PIRES LEAL BACELAR</v>
      </c>
      <c r="D443" s="5" t="str">
        <f>Transferencia!D443</f>
        <v>labacelar@hotmail.com</v>
      </c>
      <c r="E443" s="5" t="str">
        <f>Transferencia!G443</f>
        <v>5512996007575</v>
      </c>
      <c r="F443" s="5" t="str">
        <f>Transferencia!H443</f>
        <v xml:space="preserve">e-CPF A1 - 1 ano </v>
      </c>
      <c r="G443" s="6" t="str">
        <f>Transferencia!J443</f>
        <v>PONTO DE ATENDIMENTO AR CERTIFAST - ANDROMEDA/SP</v>
      </c>
      <c r="H443" s="4" t="str">
        <f>VLOOKUP(G443,Página1!G:L,6,0)</f>
        <v>Rogério</v>
      </c>
      <c r="I443" s="4" t="s">
        <v>16</v>
      </c>
      <c r="J443" s="5" t="str">
        <f>Transferencia!L443</f>
        <v>602.666.033-00</v>
      </c>
      <c r="K443" s="5" t="str">
        <f>Transferencia!M443</f>
        <v/>
      </c>
      <c r="L443" s="5" t="s">
        <v>375</v>
      </c>
    </row>
    <row r="444" spans="1:12" ht="15.75" customHeight="1">
      <c r="A444" s="5" t="str">
        <f>Transferencia!A444</f>
        <v>23131641</v>
      </c>
      <c r="B444" s="5" t="str">
        <f>Transferencia!B444</f>
        <v>27/02/2025</v>
      </c>
      <c r="C444" s="5" t="str">
        <f>Transferencia!C444</f>
        <v>DAVY AUGUSTO SOUZA FONTES DE ARAUJO</v>
      </c>
      <c r="D444" s="5" t="str">
        <f>Transferencia!D444</f>
        <v>engdavyaugusto@gmail.com</v>
      </c>
      <c r="E444" s="5" t="str">
        <f>Transferencia!G444</f>
        <v>5531998156142</v>
      </c>
      <c r="F444" s="5" t="str">
        <f>Transferencia!H444</f>
        <v xml:space="preserve">e-CNPJ A1 - PME </v>
      </c>
      <c r="G444" s="6" t="str">
        <f>Transferencia!J444</f>
        <v>Ponto de Atendimento AR Certifast - Prado BH/MG</v>
      </c>
      <c r="H444" s="4" t="str">
        <f>VLOOKUP(G444,Página1!G:L,6,0)</f>
        <v>Isabella</v>
      </c>
      <c r="I444" s="4" t="s">
        <v>16</v>
      </c>
      <c r="J444" s="5" t="str">
        <f>Transferencia!L444</f>
        <v>067.078.196-74</v>
      </c>
      <c r="K444" s="5" t="str">
        <f>Transferencia!M444</f>
        <v>40.565.635/0001-50</v>
      </c>
      <c r="L444" s="5" t="s">
        <v>376</v>
      </c>
    </row>
    <row r="445" spans="1:12" ht="15.75" customHeight="1">
      <c r="A445" s="5" t="str">
        <f>Transferencia!A445</f>
        <v>23133112</v>
      </c>
      <c r="B445" s="5" t="str">
        <f>Transferencia!B445</f>
        <v>27/02/2025</v>
      </c>
      <c r="C445" s="5" t="str">
        <f>Transferencia!C445</f>
        <v>MILENA FERREIRA BORTOLANI</v>
      </c>
      <c r="D445" s="5" t="str">
        <f>Transferencia!D445</f>
        <v>milenafbortolani@hotmail.com</v>
      </c>
      <c r="E445" s="5" t="str">
        <f>Transferencia!G445</f>
        <v>5512981905222</v>
      </c>
      <c r="F445" s="5" t="str">
        <f>Transferencia!H445</f>
        <v xml:space="preserve">e-CNPJ A1 - 1 ano </v>
      </c>
      <c r="G445" s="6" t="str">
        <f>Transferencia!J445</f>
        <v>PONTO DE ATENDIMENTO AR CERTIFAST - ANDROMEDA/SP</v>
      </c>
      <c r="H445" s="4" t="str">
        <f>VLOOKUP(G445,Página1!G:L,6,0)</f>
        <v>Rogério</v>
      </c>
      <c r="I445" s="4" t="s">
        <v>16</v>
      </c>
      <c r="J445" s="5" t="str">
        <f>Transferencia!L445</f>
        <v>493.530.908-30</v>
      </c>
      <c r="K445" s="5" t="str">
        <f>Transferencia!M445</f>
        <v>53.497.504/0001-25</v>
      </c>
      <c r="L445" s="5" t="s">
        <v>377</v>
      </c>
    </row>
    <row r="446" spans="1:12" ht="15.75" customHeight="1">
      <c r="A446" s="5" t="str">
        <f>Transferencia!A446</f>
        <v>23134402</v>
      </c>
      <c r="B446" s="5" t="str">
        <f>Transferencia!B446</f>
        <v>27/02/2025</v>
      </c>
      <c r="C446" s="5" t="str">
        <f>Transferencia!C446</f>
        <v>MARIA EDUARDA SIMAO COSTA</v>
      </c>
      <c r="D446" s="5" t="str">
        <f>Transferencia!D446</f>
        <v>Mesimaoc@gmail.com</v>
      </c>
      <c r="E446" s="5" t="str">
        <f>Transferencia!G446</f>
        <v>55</v>
      </c>
      <c r="F446" s="5" t="str">
        <f>Transferencia!H446</f>
        <v xml:space="preserve">e-CNPJ A1 - 1 ano </v>
      </c>
      <c r="G446" s="6" t="str">
        <f>Transferencia!J446</f>
        <v>AR Certifast</v>
      </c>
      <c r="H446" s="4" t="str">
        <f>VLOOKUP(G446,Página1!G:L,6,0)</f>
        <v>Alexandre</v>
      </c>
      <c r="I446" s="4" t="s">
        <v>16</v>
      </c>
      <c r="J446" s="5" t="str">
        <f>Transferencia!L446</f>
        <v>072.503.696-60</v>
      </c>
      <c r="K446" s="5" t="str">
        <f>Transferencia!M446</f>
        <v>22.787.121/0001-68</v>
      </c>
      <c r="L446" s="5" t="s">
        <v>378</v>
      </c>
    </row>
    <row r="447" spans="1:12" ht="15.75" customHeight="1">
      <c r="A447" s="5" t="str">
        <f>Transferencia!A447</f>
        <v>22595526</v>
      </c>
      <c r="B447" s="5" t="str">
        <f>Transferencia!B447</f>
        <v>28/02/2025</v>
      </c>
      <c r="C447" s="5" t="str">
        <f>Transferencia!C447</f>
        <v>ANA CLAUDIA FORMENTON DANIEL</v>
      </c>
      <c r="D447" s="5" t="str">
        <f>Transferencia!D447</f>
        <v>petrusdaniel@yahoo.com.br</v>
      </c>
      <c r="E447" s="5" t="str">
        <f>Transferencia!G447</f>
        <v>55</v>
      </c>
      <c r="F447" s="5" t="str">
        <f>Transferencia!H447</f>
        <v xml:space="preserve">e-CNPJ A1 - 1 ano </v>
      </c>
      <c r="G447" s="6" t="str">
        <f>Transferencia!J447</f>
        <v>Ponto de Atendimento AR Certifast - Maua Centro/SP</v>
      </c>
      <c r="H447" s="4" t="str">
        <f>VLOOKUP(G447,Página1!G:L,6,0)</f>
        <v>Ingrid</v>
      </c>
      <c r="I447" s="4" t="s">
        <v>16</v>
      </c>
      <c r="J447" s="5" t="str">
        <f>Transferencia!L447</f>
        <v>296.549.948-28</v>
      </c>
      <c r="K447" s="5" t="str">
        <f>Transferencia!M447</f>
        <v>18.507.722/0001-00</v>
      </c>
      <c r="L447" s="5" t="s">
        <v>379</v>
      </c>
    </row>
    <row r="448" spans="1:12" ht="15.75" customHeight="1">
      <c r="A448" s="5" t="str">
        <f>Transferencia!A448</f>
        <v>22892074</v>
      </c>
      <c r="B448" s="5" t="str">
        <f>Transferencia!B448</f>
        <v>28/02/2025</v>
      </c>
      <c r="C448" s="5" t="str">
        <f>Transferencia!C448</f>
        <v>JOSE DA CONCEICAO SOUZA</v>
      </c>
      <c r="D448" s="5" t="str">
        <f>Transferencia!D448</f>
        <v>josecruzmg@hotmail.com</v>
      </c>
      <c r="E448" s="5" t="str">
        <f>Transferencia!G448</f>
        <v>55</v>
      </c>
      <c r="F448" s="5" t="str">
        <f>Transferencia!H448</f>
        <v xml:space="preserve">e-CNPJ A1 - 1 ano </v>
      </c>
      <c r="G448" s="6" t="str">
        <f>Transferencia!J448</f>
        <v>Ponto de Atendimento AR Certifast - Maua Centro/SP</v>
      </c>
      <c r="H448" s="4" t="str">
        <f>VLOOKUP(G448,Página1!G:L,6,0)</f>
        <v>Ingrid</v>
      </c>
      <c r="I448" s="4" t="s">
        <v>16</v>
      </c>
      <c r="J448" s="5" t="str">
        <f>Transferencia!L448</f>
        <v>264.676.668-87</v>
      </c>
      <c r="K448" s="5" t="str">
        <f>Transferencia!M448</f>
        <v>58.631.607/0001-50</v>
      </c>
      <c r="L448" s="5" t="s">
        <v>380</v>
      </c>
    </row>
    <row r="449" spans="1:12" ht="15.75" customHeight="1">
      <c r="A449" s="5" t="str">
        <f>Transferencia!A449</f>
        <v>23094450</v>
      </c>
      <c r="B449" s="5" t="str">
        <f>Transferencia!B449</f>
        <v>28/02/2025</v>
      </c>
      <c r="C449" s="5" t="str">
        <f>Transferencia!C449</f>
        <v>ROGERIO REIS DA SILVA</v>
      </c>
      <c r="D449" s="5" t="str">
        <f>Transferencia!D449</f>
        <v>jh.contabilidade@hotmail.com</v>
      </c>
      <c r="E449" s="5" t="str">
        <f>Transferencia!G449</f>
        <v>5511999699360</v>
      </c>
      <c r="F449" s="5" t="str">
        <f>Transferencia!H449</f>
        <v xml:space="preserve"> NF-e A1 PJ - 1 ano - AC BR RFB</v>
      </c>
      <c r="G449" s="6" t="str">
        <f>Transferencia!J449</f>
        <v>PONTO DE ATENDIMENTO AR CERTIFAST - ANDROMEDA/SP</v>
      </c>
      <c r="H449" s="4" t="str">
        <f>VLOOKUP(G449,Página1!G:L,6,0)</f>
        <v>Rogério</v>
      </c>
      <c r="I449" s="4" t="s">
        <v>16</v>
      </c>
      <c r="J449" s="5" t="str">
        <f>Transferencia!L449</f>
        <v>111.548.868-67</v>
      </c>
      <c r="K449" s="5" t="str">
        <f>Transferencia!M449</f>
        <v>29.090.884/0001-02</v>
      </c>
      <c r="L449" s="5" t="s">
        <v>381</v>
      </c>
    </row>
    <row r="450" spans="1:12" ht="15.75" customHeight="1">
      <c r="A450" s="5" t="str">
        <f>Transferencia!A450</f>
        <v>23094507</v>
      </c>
      <c r="B450" s="5" t="str">
        <f>Transferencia!B450</f>
        <v>28/02/2025</v>
      </c>
      <c r="C450" s="5" t="str">
        <f>Transferencia!C450</f>
        <v>FRANCISCO CORREIA</v>
      </c>
      <c r="D450" s="5" t="str">
        <f>Transferencia!D450</f>
        <v>jh.contabilidade@hotmail.com</v>
      </c>
      <c r="E450" s="5" t="str">
        <f>Transferencia!G450</f>
        <v>5511995125609</v>
      </c>
      <c r="F450" s="5" t="str">
        <f>Transferencia!H450</f>
        <v xml:space="preserve">e-CNPJ A1 - PME </v>
      </c>
      <c r="G450" s="6" t="str">
        <f>Transferencia!J450</f>
        <v>PONTO DE ATENDIMENTO AR CERTIFAST - ANDROMEDA/SP</v>
      </c>
      <c r="H450" s="4" t="str">
        <f>VLOOKUP(G450,Página1!G:L,6,0)</f>
        <v>Rogério</v>
      </c>
      <c r="I450" s="4" t="s">
        <v>16</v>
      </c>
      <c r="J450" s="5" t="str">
        <f>Transferencia!L450</f>
        <v>952.563.698-49</v>
      </c>
      <c r="K450" s="5" t="str">
        <f>Transferencia!M450</f>
        <v>10.197.323/0001-70</v>
      </c>
      <c r="L450" s="5" t="s">
        <v>382</v>
      </c>
    </row>
    <row r="451" spans="1:12" ht="15.75" customHeight="1">
      <c r="A451" s="5" t="str">
        <f>Transferencia!A451</f>
        <v>23098549</v>
      </c>
      <c r="B451" s="5" t="str">
        <f>Transferencia!B451</f>
        <v>28/02/2025</v>
      </c>
      <c r="C451" s="5" t="str">
        <f>Transferencia!C451</f>
        <v>ANDREIA CRISTINA PIRES CASTRO LIMA</v>
      </c>
      <c r="D451" s="5" t="str">
        <f>Transferencia!D451</f>
        <v>contabilidade@afccontabilsjc.com.br</v>
      </c>
      <c r="E451" s="5" t="str">
        <f>Transferencia!G451</f>
        <v>5512997111317</v>
      </c>
      <c r="F451" s="5" t="str">
        <f>Transferencia!H451</f>
        <v xml:space="preserve">e-CNPJ A1 - PME </v>
      </c>
      <c r="G451" s="6" t="str">
        <f>Transferencia!J451</f>
        <v>PONTO DE ATENDIMENTO AR CERTIFAST - ANDROMEDA/SP</v>
      </c>
      <c r="H451" s="4" t="str">
        <f>VLOOKUP(G451,Página1!G:L,6,0)</f>
        <v>Rogério</v>
      </c>
      <c r="I451" s="4" t="s">
        <v>16</v>
      </c>
      <c r="J451" s="5" t="str">
        <f>Transferencia!L451</f>
        <v>006.285.187-06</v>
      </c>
      <c r="K451" s="5" t="str">
        <f>Transferencia!M451</f>
        <v>53.758.084/0001-93</v>
      </c>
      <c r="L451" s="5"/>
    </row>
    <row r="452" spans="1:12" ht="15.75" customHeight="1">
      <c r="A452" s="5" t="str">
        <f>Transferencia!A452</f>
        <v>23104947</v>
      </c>
      <c r="B452" s="5" t="str">
        <f>Transferencia!B452</f>
        <v>28/02/2025</v>
      </c>
      <c r="C452" s="5" t="str">
        <f>Transferencia!C452</f>
        <v>EVANDRO POLONI LOPES</v>
      </c>
      <c r="D452" s="5" t="str">
        <f>Transferencia!D452</f>
        <v>coord.societario@reluzcontabil.com.br</v>
      </c>
      <c r="E452" s="5" t="str">
        <f>Transferencia!G452</f>
        <v>5511954750786</v>
      </c>
      <c r="F452" s="5" t="str">
        <f>Transferencia!H452</f>
        <v xml:space="preserve">e-CNPJ A1 - PME </v>
      </c>
      <c r="G452" s="6" t="str">
        <f>Transferencia!J452</f>
        <v>Ponto de Atendimento AR Certifast - Maua Centro/SP</v>
      </c>
      <c r="H452" s="4" t="str">
        <f>VLOOKUP(G452,Página1!G:L,6,0)</f>
        <v>Ingrid</v>
      </c>
      <c r="I452" s="4" t="s">
        <v>16</v>
      </c>
      <c r="J452" s="5" t="str">
        <f>Transferencia!L452</f>
        <v>069.368.427-55</v>
      </c>
      <c r="K452" s="5" t="str">
        <f>Transferencia!M452</f>
        <v>43.924.903/0001-71</v>
      </c>
      <c r="L452" s="5"/>
    </row>
    <row r="453" spans="1:12" ht="15.75" customHeight="1">
      <c r="A453" s="5" t="str">
        <f>Transferencia!A453</f>
        <v>23106420</v>
      </c>
      <c r="B453" s="5" t="str">
        <f>Transferencia!B453</f>
        <v>28/02/2025</v>
      </c>
      <c r="C453" s="5" t="str">
        <f>Transferencia!C453</f>
        <v>THAUANE ANDRADE RISSETTO</v>
      </c>
      <c r="D453" s="5" t="str">
        <f>Transferencia!D453</f>
        <v>thauaneandrade23@gmail.com</v>
      </c>
      <c r="E453" s="5" t="str">
        <f>Transferencia!G453</f>
        <v>5511975119995</v>
      </c>
      <c r="F453" s="5" t="str">
        <f>Transferencia!H453</f>
        <v xml:space="preserve">e-CNPJ A1 - 1 ano </v>
      </c>
      <c r="G453" s="6" t="str">
        <f>Transferencia!J453</f>
        <v>AR Certifast</v>
      </c>
      <c r="H453" s="4" t="str">
        <f>VLOOKUP(G453,Página1!G:L,6,0)</f>
        <v>Alexandre</v>
      </c>
      <c r="I453" s="4" t="s">
        <v>16</v>
      </c>
      <c r="J453" s="5" t="str">
        <f>Transferencia!L453</f>
        <v>402.920.058-30</v>
      </c>
      <c r="K453" s="5" t="str">
        <f>Transferencia!M453</f>
        <v>53.859.642/0001-07</v>
      </c>
      <c r="L453" s="5"/>
    </row>
    <row r="454" spans="1:12" ht="15.75" customHeight="1">
      <c r="A454" s="5" t="str">
        <f>Transferencia!A454</f>
        <v>23108828</v>
      </c>
      <c r="B454" s="5" t="str">
        <f>Transferencia!B454</f>
        <v>28/02/2025</v>
      </c>
      <c r="C454" s="5" t="str">
        <f>Transferencia!C454</f>
        <v>ANTONIO LEITE DE ALENCAR</v>
      </c>
      <c r="D454" s="5" t="str">
        <f>Transferencia!D454</f>
        <v>jh.contabilidade@hotmail.com</v>
      </c>
      <c r="E454" s="5" t="str">
        <f>Transferencia!G454</f>
        <v>5599981211216</v>
      </c>
      <c r="F454" s="5" t="str">
        <f>Transferencia!H454</f>
        <v xml:space="preserve">e-CNPJ A1 - PME </v>
      </c>
      <c r="G454" s="6" t="str">
        <f>Transferencia!J454</f>
        <v>PONTO DE ATENDIMENTO AR CERTIFAST - ANDROMEDA/SP</v>
      </c>
      <c r="H454" s="4" t="str">
        <f>VLOOKUP(G454,Página1!G:L,6,0)</f>
        <v>Rogério</v>
      </c>
      <c r="I454" s="4" t="s">
        <v>16</v>
      </c>
      <c r="J454" s="5" t="str">
        <f>Transferencia!L454</f>
        <v>330.034.083-72</v>
      </c>
      <c r="K454" s="5" t="str">
        <f>Transferencia!M454</f>
        <v>21.284.315/0001-88</v>
      </c>
      <c r="L454" s="5" t="s">
        <v>384</v>
      </c>
    </row>
    <row r="455" spans="1:12" ht="15.75" customHeight="1">
      <c r="A455" s="5" t="str">
        <f>Transferencia!A455</f>
        <v>23110110</v>
      </c>
      <c r="B455" s="5" t="str">
        <f>Transferencia!B455</f>
        <v>28/02/2025</v>
      </c>
      <c r="C455" s="5" t="str">
        <f>Transferencia!C455</f>
        <v>REGINALDO ESTEVES DE MOURA</v>
      </c>
      <c r="D455" s="5" t="str">
        <f>Transferencia!D455</f>
        <v>reginaldoestevesdemoura@gmail.com</v>
      </c>
      <c r="E455" s="5" t="str">
        <f>Transferencia!G455</f>
        <v>5511959440951</v>
      </c>
      <c r="F455" s="5" t="str">
        <f>Transferencia!H455</f>
        <v xml:space="preserve">e-CNPJ A1 - 1 ano </v>
      </c>
      <c r="G455" s="6" t="str">
        <f>Transferencia!J455</f>
        <v>Ponto de Atendimento AR Certifast - Maua Centro/SP</v>
      </c>
      <c r="H455" s="4" t="str">
        <f>VLOOKUP(G455,Página1!G:L,6,0)</f>
        <v>Ingrid</v>
      </c>
      <c r="I455" s="4" t="s">
        <v>16</v>
      </c>
      <c r="J455" s="5" t="str">
        <f>Transferencia!L455</f>
        <v>061.127.008-08</v>
      </c>
      <c r="K455" s="5" t="str">
        <f>Transferencia!M455</f>
        <v>54.031.863/0001-55</v>
      </c>
      <c r="L455" s="5"/>
    </row>
    <row r="456" spans="1:12" ht="15.75" customHeight="1">
      <c r="A456" s="5" t="str">
        <f>Transferencia!A456</f>
        <v>23116621</v>
      </c>
      <c r="B456" s="5" t="str">
        <f>Transferencia!B456</f>
        <v>28/02/2025</v>
      </c>
      <c r="C456" s="5" t="str">
        <f>Transferencia!C456</f>
        <v>CAROLINA RODRIGUES FIGUEREDO DE SOUZA</v>
      </c>
      <c r="D456" s="5" t="str">
        <f>Transferencia!D456</f>
        <v>carolina.rodrigues@internacionalnet.com.br</v>
      </c>
      <c r="E456" s="5" t="str">
        <f>Transferencia!G456</f>
        <v>5531993655312</v>
      </c>
      <c r="F456" s="5" t="str">
        <f>Transferencia!H456</f>
        <v xml:space="preserve">e-CPF A1 - 1 ano </v>
      </c>
      <c r="G456" s="6" t="str">
        <f>Transferencia!J456</f>
        <v>Ponto de Atendimento AR Certifast - Prado BH/MG</v>
      </c>
      <c r="H456" s="4" t="str">
        <f>VLOOKUP(G456,Página1!G:L,6,0)</f>
        <v>Isabella</v>
      </c>
      <c r="I456" s="4" t="s">
        <v>16</v>
      </c>
      <c r="J456" s="5" t="str">
        <f>Transferencia!L456</f>
        <v>078.108.646-96</v>
      </c>
      <c r="K456" s="5" t="str">
        <f>Transferencia!M456</f>
        <v/>
      </c>
      <c r="L456" s="5" t="s">
        <v>385</v>
      </c>
    </row>
    <row r="457" spans="1:12" ht="15.75" customHeight="1">
      <c r="A457" s="5" t="str">
        <f>Transferencia!A457</f>
        <v>23118857</v>
      </c>
      <c r="B457" s="5" t="str">
        <f>Transferencia!B457</f>
        <v>28/02/2025</v>
      </c>
      <c r="C457" s="5" t="str">
        <f>Transferencia!C457</f>
        <v>BARBARA FERREIRA CHIARELLO</v>
      </c>
      <c r="D457" s="5" t="str">
        <f>Transferencia!D457</f>
        <v>mauricio.pancini@uol.com.br</v>
      </c>
      <c r="E457" s="5" t="str">
        <f>Transferencia!G457</f>
        <v>5512981421475</v>
      </c>
      <c r="F457" s="5" t="str">
        <f>Transferencia!H457</f>
        <v xml:space="preserve">e-CNPJ A1 - PME </v>
      </c>
      <c r="G457" s="6" t="str">
        <f>Transferencia!J457</f>
        <v>PONTO DE ATENDIMENTO AR CERTIFAST - ANDROMEDA/SP</v>
      </c>
      <c r="H457" s="4" t="str">
        <f>VLOOKUP(G457,Página1!G:L,6,0)</f>
        <v>Rogério</v>
      </c>
      <c r="I457" s="4" t="s">
        <v>16</v>
      </c>
      <c r="J457" s="5" t="str">
        <f>Transferencia!L457</f>
        <v>389.941.238-90</v>
      </c>
      <c r="K457" s="5" t="str">
        <f>Transferencia!M457</f>
        <v>38.296.630/0001-28</v>
      </c>
      <c r="L457" s="5"/>
    </row>
    <row r="458" spans="1:12" ht="15.75" customHeight="1">
      <c r="A458" s="5" t="str">
        <f>Transferencia!A458</f>
        <v>23123382</v>
      </c>
      <c r="B458" s="5" t="str">
        <f>Transferencia!B458</f>
        <v>28/02/2025</v>
      </c>
      <c r="C458" s="5" t="str">
        <f>Transferencia!C458</f>
        <v>MARCOS ALMEIDA DE OLIVEIRA</v>
      </c>
      <c r="D458" s="5" t="str">
        <f>Transferencia!D458</f>
        <v>adm@almeidainstal.com.br</v>
      </c>
      <c r="E458" s="5" t="str">
        <f>Transferencia!G458</f>
        <v>55</v>
      </c>
      <c r="F458" s="5" t="str">
        <f>Transferencia!H458</f>
        <v xml:space="preserve">e-CPF A1 - 1 ano </v>
      </c>
      <c r="G458" s="6" t="str">
        <f>Transferencia!J458</f>
        <v>AR Certifast</v>
      </c>
      <c r="H458" s="4" t="str">
        <f>VLOOKUP(G458,Página1!G:L,6,0)</f>
        <v>Alexandre</v>
      </c>
      <c r="I458" s="4" t="s">
        <v>16</v>
      </c>
      <c r="J458" s="5" t="str">
        <f>Transferencia!L458</f>
        <v>454.948.338-52</v>
      </c>
      <c r="K458" s="5" t="str">
        <f>Transferencia!M458</f>
        <v/>
      </c>
      <c r="L458" s="5" t="s">
        <v>386</v>
      </c>
    </row>
    <row r="459" spans="1:12" ht="15.75" customHeight="1">
      <c r="A459" s="5" t="str">
        <f>Transferencia!A459</f>
        <v>23128938</v>
      </c>
      <c r="B459" s="5" t="str">
        <f>Transferencia!B459</f>
        <v>28/02/2025</v>
      </c>
      <c r="C459" s="5" t="str">
        <f>Transferencia!C459</f>
        <v>GUSTAVO DA COSTA LASMAR</v>
      </c>
      <c r="D459" s="5" t="str">
        <f>Transferencia!D459</f>
        <v>gustavolasmar04@gmail.com</v>
      </c>
      <c r="E459" s="5" t="str">
        <f>Transferencia!G459</f>
        <v>5531998185841</v>
      </c>
      <c r="F459" s="5" t="str">
        <f>Transferencia!H459</f>
        <v xml:space="preserve">e-CNPJ A1 - PME </v>
      </c>
      <c r="G459" s="6" t="str">
        <f>Transferencia!J459</f>
        <v>Ponto de Atendimento AR Certifast - Prado BH/MG</v>
      </c>
      <c r="H459" s="4" t="str">
        <f>VLOOKUP(G459,Página1!G:L,6,0)</f>
        <v>Isabella</v>
      </c>
      <c r="I459" s="4" t="s">
        <v>16</v>
      </c>
      <c r="J459" s="5" t="str">
        <f>Transferencia!L459</f>
        <v>031.724.836-73</v>
      </c>
      <c r="K459" s="5" t="str">
        <f>Transferencia!M459</f>
        <v>33.286.909/0001-07</v>
      </c>
      <c r="L459" s="5"/>
    </row>
    <row r="460" spans="1:12" ht="15.75" customHeight="1">
      <c r="A460" s="5" t="str">
        <f>Transferencia!A460</f>
        <v>23129048</v>
      </c>
      <c r="B460" s="5" t="str">
        <f>Transferencia!B460</f>
        <v>28/02/2025</v>
      </c>
      <c r="C460" s="5" t="str">
        <f>Transferencia!C460</f>
        <v>DAIANE CRISTINA TORELLI GELLI</v>
      </c>
      <c r="D460" s="5" t="str">
        <f>Transferencia!D460</f>
        <v>jh.contabilidade@hotmail.com</v>
      </c>
      <c r="E460" s="5" t="str">
        <f>Transferencia!G460</f>
        <v>5511963307586</v>
      </c>
      <c r="F460" s="5" t="str">
        <f>Transferencia!H460</f>
        <v xml:space="preserve">e-CPF A1 - 1 ano </v>
      </c>
      <c r="G460" s="6" t="str">
        <f>Transferencia!J460</f>
        <v>PONTO DE ATENDIMENTO AR CERTIFAST - ANDROMEDA/SP</v>
      </c>
      <c r="H460" s="4" t="str">
        <f>VLOOKUP(G460,Página1!G:L,6,0)</f>
        <v>Rogério</v>
      </c>
      <c r="I460" s="4" t="s">
        <v>16</v>
      </c>
      <c r="J460" s="5" t="str">
        <f>Transferencia!L460</f>
        <v>399.987.278-04</v>
      </c>
      <c r="K460" s="5" t="str">
        <f>Transferencia!M460</f>
        <v/>
      </c>
      <c r="L460" s="5" t="s">
        <v>387</v>
      </c>
    </row>
    <row r="461" spans="1:12" ht="15.75" customHeight="1">
      <c r="A461" s="5" t="str">
        <f>Transferencia!A461</f>
        <v>23135304</v>
      </c>
      <c r="B461" s="5" t="str">
        <f>Transferencia!B461</f>
        <v>28/02/2025</v>
      </c>
      <c r="C461" s="5" t="str">
        <f>Transferencia!C461</f>
        <v>ALLEXIA ANNE PAOLA DOS SANTOS ARAUJO</v>
      </c>
      <c r="D461" s="5" t="str">
        <f>Transferencia!D461</f>
        <v>allexiaaraujo97@gmail.com</v>
      </c>
      <c r="E461" s="5" t="str">
        <f>Transferencia!G461</f>
        <v>5531984166052</v>
      </c>
      <c r="F461" s="5" t="str">
        <f>Transferencia!H461</f>
        <v xml:space="preserve">e-CNPJ A1 - PME </v>
      </c>
      <c r="G461" s="6" t="str">
        <f>Transferencia!J461</f>
        <v>Ponto de Atendimento AR Certifast - Prado BH/MG</v>
      </c>
      <c r="H461" s="4" t="str">
        <f>VLOOKUP(G461,Página1!G:L,6,0)</f>
        <v>Isabella</v>
      </c>
      <c r="I461" s="4" t="s">
        <v>16</v>
      </c>
      <c r="J461" s="5" t="str">
        <f>Transferencia!L461</f>
        <v>134.295.916-78</v>
      </c>
      <c r="K461" s="5" t="str">
        <f>Transferencia!M461</f>
        <v>51.287.141/0001-78</v>
      </c>
      <c r="L461" s="5" t="s">
        <v>388</v>
      </c>
    </row>
    <row r="462" spans="1:12" ht="15.75" customHeight="1">
      <c r="A462" s="5" t="str">
        <f>Transferencia!A462</f>
        <v>23136012</v>
      </c>
      <c r="B462" s="5" t="str">
        <f>Transferencia!B462</f>
        <v>28/02/2025</v>
      </c>
      <c r="C462" s="5" t="str">
        <f>Transferencia!C462</f>
        <v>MARCO ANTONIO RATAO</v>
      </c>
      <c r="D462" s="5" t="str">
        <f>Transferencia!D462</f>
        <v>fiscal@matag.com.br</v>
      </c>
      <c r="E462" s="5" t="str">
        <f>Transferencia!G462</f>
        <v>5512997446907</v>
      </c>
      <c r="F462" s="5" t="str">
        <f>Transferencia!H462</f>
        <v xml:space="preserve">e-CNPJ A1 - PME </v>
      </c>
      <c r="G462" s="6" t="str">
        <f>Transferencia!J462</f>
        <v>PONTO DE ATENDIMENTO AR CERTIFAST - ANDROMEDA/SP</v>
      </c>
      <c r="H462" s="4" t="str">
        <f>VLOOKUP(G462,Página1!G:L,6,0)</f>
        <v>Rogério</v>
      </c>
      <c r="I462" s="4" t="s">
        <v>16</v>
      </c>
      <c r="J462" s="5" t="str">
        <f>Transferencia!L462</f>
        <v>090.437.378-95</v>
      </c>
      <c r="K462" s="5" t="str">
        <f>Transferencia!M462</f>
        <v>36.309.087/0001-20</v>
      </c>
      <c r="L462" s="5"/>
    </row>
    <row r="463" spans="1:12" ht="15.75" customHeight="1">
      <c r="A463" s="5" t="str">
        <f>Transferencia!A463</f>
        <v>23136762</v>
      </c>
      <c r="B463" s="5" t="str">
        <f>Transferencia!B463</f>
        <v>28/02/2025</v>
      </c>
      <c r="C463" s="5" t="str">
        <f>Transferencia!C463</f>
        <v>GRAZIELA PERUZZO PERSICO DE OLIVEIRA</v>
      </c>
      <c r="D463" s="5" t="str">
        <f>Transferencia!D463</f>
        <v>peruzzo.graziela@gmail.com</v>
      </c>
      <c r="E463" s="5" t="str">
        <f>Transferencia!G463</f>
        <v>5512997164436</v>
      </c>
      <c r="F463" s="5" t="str">
        <f>Transferencia!H463</f>
        <v xml:space="preserve">e-CPF A1 - 1 ano </v>
      </c>
      <c r="G463" s="6" t="str">
        <f>Transferencia!J463</f>
        <v>PONTO DE ATENDIMENTO AR CERTIFAST - ANDROMEDA/SP</v>
      </c>
      <c r="H463" s="4" t="str">
        <f>VLOOKUP(G463,Página1!G:L,6,0)</f>
        <v>Rogério</v>
      </c>
      <c r="I463" s="4" t="s">
        <v>16</v>
      </c>
      <c r="J463" s="5" t="str">
        <f>Transferencia!L463</f>
        <v>023.785.979-32</v>
      </c>
      <c r="K463" s="5" t="str">
        <f>Transferencia!M463</f>
        <v/>
      </c>
      <c r="L463" s="5"/>
    </row>
    <row r="464" spans="1:12" ht="15.75" customHeight="1">
      <c r="A464" s="5" t="str">
        <f>Transferencia!A464</f>
        <v>23139450</v>
      </c>
      <c r="B464" s="5" t="str">
        <f>Transferencia!B464</f>
        <v>28/02/2025</v>
      </c>
      <c r="C464" s="5" t="str">
        <f>Transferencia!C464</f>
        <v>FERNANDO AUGUSTO PERETA</v>
      </c>
      <c r="D464" s="5" t="str">
        <f>Transferencia!D464</f>
        <v>fabricadasartes@hotmail.com.br</v>
      </c>
      <c r="E464" s="5" t="str">
        <f>Transferencia!G464</f>
        <v>5512991578860</v>
      </c>
      <c r="F464" s="5" t="str">
        <f>Transferencia!H464</f>
        <v>e-PJ  A1 - 1 ano</v>
      </c>
      <c r="G464" s="6" t="str">
        <f>Transferencia!J464</f>
        <v>PONTO DE ATENDIMENTO AR CERTIFAST - ANDROMEDA/SP</v>
      </c>
      <c r="H464" s="4" t="str">
        <f>VLOOKUP(G464,Página1!G:L,6,0)</f>
        <v>Rogério</v>
      </c>
      <c r="I464" s="4" t="s">
        <v>16</v>
      </c>
      <c r="J464" s="5" t="str">
        <f>Transferencia!L464</f>
        <v>088.057.428-30</v>
      </c>
      <c r="K464" s="5" t="str">
        <f>Transferencia!M464</f>
        <v>18.642.453/0001-87</v>
      </c>
      <c r="L464" s="5" t="s">
        <v>389</v>
      </c>
    </row>
    <row r="465" spans="1:12" ht="15.75" customHeight="1">
      <c r="A465" s="5"/>
      <c r="B465" s="5"/>
      <c r="C465" s="5"/>
      <c r="D465" s="5"/>
      <c r="E465" s="5"/>
      <c r="F465" s="5"/>
      <c r="G465" s="6"/>
      <c r="H465" s="4"/>
      <c r="I465" s="4"/>
      <c r="J465" s="5"/>
      <c r="K465" s="5"/>
      <c r="L465" s="5"/>
    </row>
    <row r="466" spans="1:12" ht="15.75" customHeight="1">
      <c r="A466" s="5"/>
      <c r="B466" s="5"/>
      <c r="C466" s="5"/>
      <c r="D466" s="5"/>
      <c r="E466" s="5"/>
      <c r="F466" s="5"/>
      <c r="G466" s="6"/>
      <c r="H466" s="4"/>
      <c r="I466" s="4"/>
      <c r="J466" s="5"/>
      <c r="K466" s="5"/>
      <c r="L466" s="5"/>
    </row>
    <row r="467" spans="1:12" ht="15.75" customHeight="1">
      <c r="A467" s="5"/>
      <c r="B467" s="5"/>
      <c r="C467" s="5"/>
      <c r="D467" s="5"/>
      <c r="E467" s="5"/>
      <c r="F467" s="5"/>
      <c r="G467" s="6"/>
      <c r="H467" s="4"/>
      <c r="I467" s="4"/>
      <c r="J467" s="5"/>
      <c r="K467" s="5"/>
      <c r="L467" s="5"/>
    </row>
    <row r="468" spans="1:12" ht="15.75" customHeight="1">
      <c r="A468" s="5"/>
      <c r="B468" s="5"/>
      <c r="C468" s="5"/>
      <c r="D468" s="5"/>
      <c r="E468" s="5"/>
      <c r="F468" s="5"/>
      <c r="G468" s="6"/>
      <c r="H468" s="4"/>
      <c r="I468" s="4"/>
      <c r="J468" s="5"/>
      <c r="K468" s="5"/>
      <c r="L468" s="5"/>
    </row>
    <row r="469" spans="1:12" ht="15.75" customHeight="1">
      <c r="A469" s="5"/>
      <c r="B469" s="5"/>
      <c r="C469" s="5"/>
      <c r="D469" s="5"/>
      <c r="E469" s="5"/>
      <c r="F469" s="5"/>
      <c r="G469" s="6"/>
      <c r="H469" s="4"/>
      <c r="I469" s="4"/>
      <c r="J469" s="5"/>
      <c r="K469" s="5"/>
      <c r="L469" s="5"/>
    </row>
    <row r="470" spans="1:12" ht="15.75" customHeight="1">
      <c r="A470" s="5"/>
      <c r="B470" s="5"/>
      <c r="C470" s="5"/>
      <c r="D470" s="5"/>
      <c r="E470" s="5"/>
      <c r="F470" s="5"/>
      <c r="G470" s="6"/>
      <c r="H470" s="4"/>
      <c r="I470" s="4"/>
      <c r="J470" s="5"/>
      <c r="K470" s="5"/>
      <c r="L470" s="5"/>
    </row>
    <row r="471" spans="1:12" ht="15.75" customHeight="1">
      <c r="A471" s="5"/>
      <c r="B471" s="5"/>
      <c r="C471" s="5"/>
      <c r="D471" s="5"/>
      <c r="E471" s="5"/>
      <c r="F471" s="5"/>
      <c r="G471" s="6"/>
      <c r="H471" s="4"/>
      <c r="I471" s="4"/>
      <c r="J471" s="5"/>
      <c r="K471" s="5"/>
      <c r="L471" s="5"/>
    </row>
    <row r="472" spans="1:12" ht="15.75" customHeight="1">
      <c r="A472" s="5"/>
      <c r="B472" s="5"/>
      <c r="C472" s="5"/>
      <c r="D472" s="5"/>
      <c r="E472" s="5"/>
      <c r="F472" s="5"/>
      <c r="G472" s="6"/>
      <c r="H472" s="4"/>
      <c r="I472" s="4"/>
      <c r="J472" s="5"/>
      <c r="K472" s="5"/>
      <c r="L472" s="5"/>
    </row>
    <row r="473" spans="1:12" ht="15.75" customHeight="1">
      <c r="A473" s="5"/>
      <c r="B473" s="5"/>
      <c r="C473" s="5"/>
      <c r="D473" s="5"/>
      <c r="E473" s="5"/>
      <c r="F473" s="5"/>
      <c r="G473" s="6"/>
      <c r="H473" s="4"/>
      <c r="I473" s="4"/>
      <c r="J473" s="5"/>
      <c r="K473" s="5"/>
      <c r="L473" s="5"/>
    </row>
    <row r="474" spans="1:12" ht="15.75" customHeight="1">
      <c r="A474" s="5"/>
      <c r="B474" s="5"/>
      <c r="C474" s="5"/>
      <c r="D474" s="5"/>
      <c r="E474" s="5"/>
      <c r="F474" s="5"/>
      <c r="G474" s="6"/>
      <c r="H474" s="4"/>
      <c r="I474" s="4"/>
      <c r="J474" s="5"/>
      <c r="K474" s="5"/>
      <c r="L474" s="5"/>
    </row>
    <row r="475" spans="1:12" ht="15.75" customHeight="1">
      <c r="A475" s="5"/>
      <c r="B475" s="5"/>
      <c r="C475" s="5"/>
      <c r="D475" s="5"/>
      <c r="E475" s="5"/>
      <c r="F475" s="5"/>
      <c r="G475" s="6"/>
      <c r="H475" s="4"/>
      <c r="I475" s="4"/>
      <c r="J475" s="5"/>
      <c r="K475" s="5"/>
      <c r="L475" s="5"/>
    </row>
    <row r="476" spans="1:12" ht="15.75" customHeight="1">
      <c r="A476" s="5"/>
      <c r="B476" s="5"/>
      <c r="C476" s="5"/>
      <c r="D476" s="5"/>
      <c r="E476" s="5"/>
      <c r="F476" s="5"/>
      <c r="G476" s="6"/>
      <c r="H476" s="4"/>
      <c r="I476" s="4"/>
      <c r="J476" s="5"/>
      <c r="K476" s="5"/>
      <c r="L476" s="5"/>
    </row>
    <row r="477" spans="1:12" ht="15.75" customHeight="1">
      <c r="A477" s="5"/>
      <c r="B477" s="5"/>
      <c r="C477" s="5"/>
      <c r="D477" s="5"/>
      <c r="E477" s="5"/>
      <c r="F477" s="5"/>
      <c r="G477" s="6"/>
      <c r="H477" s="4"/>
      <c r="I477" s="4"/>
      <c r="J477" s="5"/>
      <c r="K477" s="5"/>
      <c r="L477" s="5"/>
    </row>
    <row r="478" spans="1:12" ht="15.75" customHeight="1">
      <c r="A478" s="5"/>
      <c r="B478" s="5"/>
      <c r="C478" s="5"/>
      <c r="D478" s="5"/>
      <c r="E478" s="5"/>
      <c r="F478" s="5"/>
      <c r="G478" s="6"/>
      <c r="H478" s="4"/>
      <c r="I478" s="4"/>
      <c r="J478" s="5"/>
      <c r="K478" s="5"/>
      <c r="L478" s="5"/>
    </row>
    <row r="479" spans="1:12" ht="15.75" customHeight="1">
      <c r="A479" s="5"/>
      <c r="B479" s="5"/>
      <c r="C479" s="5"/>
      <c r="D479" s="5"/>
      <c r="E479" s="5"/>
      <c r="F479" s="5"/>
      <c r="G479" s="6"/>
      <c r="H479" s="4"/>
      <c r="I479" s="4"/>
      <c r="J479" s="5"/>
      <c r="K479" s="5"/>
      <c r="L479" s="5"/>
    </row>
    <row r="480" spans="1:12" ht="15.75" customHeight="1">
      <c r="A480" s="5"/>
      <c r="B480" s="5"/>
      <c r="C480" s="5"/>
      <c r="D480" s="5"/>
      <c r="E480" s="5"/>
      <c r="F480" s="5"/>
      <c r="G480" s="6"/>
      <c r="H480" s="4"/>
      <c r="I480" s="4"/>
      <c r="J480" s="5"/>
      <c r="K480" s="5"/>
      <c r="L480" s="5"/>
    </row>
    <row r="481" spans="1:12" ht="15.75" customHeight="1">
      <c r="A481" s="5"/>
      <c r="B481" s="5"/>
      <c r="C481" s="5"/>
      <c r="D481" s="5"/>
      <c r="E481" s="5"/>
      <c r="F481" s="5"/>
      <c r="G481" s="6"/>
      <c r="H481" s="4"/>
      <c r="I481" s="4"/>
      <c r="J481" s="5"/>
      <c r="K481" s="5"/>
      <c r="L481" s="5"/>
    </row>
    <row r="482" spans="1:12" ht="15.75" customHeight="1">
      <c r="A482" s="5"/>
      <c r="B482" s="5"/>
      <c r="C482" s="5"/>
      <c r="D482" s="5"/>
      <c r="E482" s="5"/>
      <c r="F482" s="5"/>
      <c r="G482" s="6"/>
      <c r="H482" s="4"/>
      <c r="I482" s="4"/>
      <c r="J482" s="5"/>
      <c r="K482" s="5"/>
      <c r="L482" s="5"/>
    </row>
    <row r="483" spans="1:12" ht="15.75" customHeight="1">
      <c r="A483" s="5"/>
      <c r="B483" s="5"/>
      <c r="C483" s="5"/>
      <c r="D483" s="5"/>
      <c r="E483" s="5"/>
      <c r="F483" s="5"/>
      <c r="G483" s="6"/>
      <c r="H483" s="4"/>
      <c r="I483" s="4"/>
      <c r="J483" s="5"/>
      <c r="K483" s="5"/>
      <c r="L483" s="5"/>
    </row>
    <row r="484" spans="1:12" ht="15.75" customHeight="1">
      <c r="A484" s="5"/>
      <c r="B484" s="5"/>
      <c r="C484" s="5"/>
      <c r="D484" s="5"/>
      <c r="E484" s="5"/>
      <c r="F484" s="5"/>
      <c r="G484" s="6"/>
      <c r="H484" s="4"/>
      <c r="I484" s="4"/>
      <c r="J484" s="5"/>
      <c r="K484" s="5"/>
      <c r="L484" s="5"/>
    </row>
    <row r="485" spans="1:12" ht="15.75" customHeight="1">
      <c r="A485" s="5"/>
      <c r="B485" s="5"/>
      <c r="C485" s="5"/>
      <c r="D485" s="5"/>
      <c r="E485" s="5"/>
      <c r="F485" s="5"/>
      <c r="G485" s="6"/>
      <c r="H485" s="4"/>
      <c r="I485" s="4"/>
      <c r="J485" s="5"/>
      <c r="K485" s="5"/>
      <c r="L485" s="5"/>
    </row>
    <row r="486" spans="1:12" ht="15.75" customHeight="1">
      <c r="A486" s="5"/>
      <c r="B486" s="5"/>
      <c r="C486" s="5"/>
      <c r="D486" s="5"/>
      <c r="E486" s="5"/>
      <c r="F486" s="5"/>
      <c r="G486" s="6"/>
      <c r="H486" s="4"/>
      <c r="I486" s="4"/>
      <c r="J486" s="5"/>
      <c r="K486" s="5"/>
      <c r="L486" s="5"/>
    </row>
    <row r="487" spans="1:12" ht="15.75" customHeight="1">
      <c r="A487" s="5"/>
      <c r="B487" s="5"/>
      <c r="C487" s="5"/>
      <c r="D487" s="5"/>
      <c r="E487" s="5"/>
      <c r="F487" s="5"/>
      <c r="G487" s="6"/>
      <c r="H487" s="4"/>
      <c r="I487" s="4"/>
      <c r="J487" s="5"/>
      <c r="K487" s="5"/>
      <c r="L487" s="5"/>
    </row>
    <row r="488" spans="1:12" ht="15.75" customHeight="1">
      <c r="A488" s="5"/>
      <c r="B488" s="5"/>
      <c r="C488" s="5"/>
      <c r="D488" s="5"/>
      <c r="E488" s="5"/>
      <c r="F488" s="5"/>
      <c r="G488" s="6"/>
      <c r="H488" s="4"/>
      <c r="I488" s="4"/>
      <c r="J488" s="5"/>
      <c r="K488" s="5"/>
      <c r="L488" s="5"/>
    </row>
    <row r="489" spans="1:12" ht="15.75" customHeight="1">
      <c r="A489" s="5"/>
      <c r="B489" s="5"/>
      <c r="C489" s="5"/>
      <c r="D489" s="5"/>
      <c r="E489" s="5"/>
      <c r="F489" s="5"/>
      <c r="G489" s="6"/>
      <c r="H489" s="4"/>
      <c r="I489" s="4"/>
      <c r="J489" s="5"/>
      <c r="K489" s="5"/>
      <c r="L489" s="5"/>
    </row>
    <row r="490" spans="1:12" ht="15.75" customHeight="1">
      <c r="A490" s="5"/>
      <c r="B490" s="5"/>
      <c r="C490" s="5"/>
      <c r="D490" s="5"/>
      <c r="E490" s="5"/>
      <c r="F490" s="5"/>
      <c r="G490" s="6"/>
      <c r="H490" s="4"/>
      <c r="I490" s="4"/>
      <c r="J490" s="5"/>
      <c r="K490" s="5"/>
      <c r="L490" s="5"/>
    </row>
    <row r="491" spans="1:12" ht="15.75" customHeight="1">
      <c r="A491" s="5"/>
      <c r="B491" s="5"/>
      <c r="C491" s="5"/>
      <c r="D491" s="5"/>
      <c r="E491" s="5"/>
      <c r="F491" s="5"/>
      <c r="G491" s="6"/>
      <c r="H491" s="4"/>
      <c r="I491" s="4"/>
      <c r="J491" s="5"/>
      <c r="K491" s="5"/>
      <c r="L491" s="5"/>
    </row>
    <row r="492" spans="1:12" ht="15.75" customHeight="1">
      <c r="A492" s="5"/>
      <c r="B492" s="5"/>
      <c r="C492" s="5"/>
      <c r="D492" s="5"/>
      <c r="E492" s="5"/>
      <c r="F492" s="5"/>
      <c r="G492" s="6"/>
      <c r="H492" s="4"/>
      <c r="I492" s="4"/>
      <c r="J492" s="5"/>
      <c r="K492" s="5"/>
      <c r="L492" s="5"/>
    </row>
    <row r="493" spans="1:12" ht="15.75" customHeight="1">
      <c r="A493" s="5"/>
      <c r="B493" s="5"/>
      <c r="C493" s="5"/>
      <c r="D493" s="5"/>
      <c r="E493" s="5"/>
      <c r="F493" s="5"/>
      <c r="G493" s="5"/>
      <c r="H493" s="4"/>
      <c r="I493" s="4"/>
      <c r="J493" s="5"/>
      <c r="K493" s="5"/>
      <c r="L493" s="5"/>
    </row>
    <row r="494" spans="1:12" ht="15.75" customHeight="1">
      <c r="A494" s="5"/>
      <c r="B494" s="5"/>
      <c r="C494" s="5"/>
      <c r="D494" s="5"/>
      <c r="E494" s="5"/>
      <c r="F494" s="5"/>
      <c r="G494" s="5"/>
      <c r="H494" s="4"/>
      <c r="I494" s="4"/>
      <c r="J494" s="5"/>
      <c r="K494" s="5"/>
      <c r="L494" s="5"/>
    </row>
    <row r="495" spans="1:12" ht="15.75" customHeight="1">
      <c r="A495" s="5"/>
      <c r="B495" s="5"/>
      <c r="C495" s="5"/>
      <c r="D495" s="5"/>
      <c r="E495" s="5"/>
      <c r="F495" s="5"/>
      <c r="G495" s="5"/>
      <c r="H495" s="4"/>
      <c r="I495" s="4"/>
      <c r="J495" s="5"/>
      <c r="K495" s="5"/>
      <c r="L495" s="5"/>
    </row>
    <row r="496" spans="1:12" ht="15.75" customHeight="1">
      <c r="A496" s="5"/>
      <c r="B496" s="5"/>
      <c r="C496" s="5"/>
      <c r="D496" s="5"/>
      <c r="E496" s="5"/>
      <c r="F496" s="5"/>
      <c r="G496" s="5"/>
      <c r="H496" s="4"/>
      <c r="I496" s="4"/>
      <c r="J496" s="5"/>
      <c r="K496" s="5"/>
      <c r="L496" s="5"/>
    </row>
    <row r="497" spans="1:12" ht="15.75" customHeight="1">
      <c r="A497" s="5"/>
      <c r="B497" s="5"/>
      <c r="C497" s="5"/>
      <c r="D497" s="5"/>
      <c r="E497" s="5"/>
      <c r="F497" s="5"/>
      <c r="G497" s="5"/>
      <c r="H497" s="4"/>
      <c r="I497" s="4"/>
      <c r="J497" s="5"/>
      <c r="K497" s="5"/>
      <c r="L497" s="5"/>
    </row>
    <row r="498" spans="1:12" ht="15.75" customHeight="1">
      <c r="A498" s="5"/>
      <c r="B498" s="5"/>
      <c r="C498" s="5"/>
      <c r="D498" s="5"/>
      <c r="E498" s="5"/>
      <c r="F498" s="5"/>
      <c r="G498" s="5"/>
      <c r="H498" s="4"/>
      <c r="I498" s="4"/>
      <c r="J498" s="5"/>
      <c r="K498" s="5"/>
      <c r="L498" s="5"/>
    </row>
    <row r="499" spans="1:12" ht="15.75" customHeight="1">
      <c r="A499" s="5"/>
      <c r="B499" s="5"/>
      <c r="C499" s="5"/>
      <c r="D499" s="5"/>
      <c r="E499" s="5"/>
      <c r="F499" s="5"/>
      <c r="G499" s="5"/>
      <c r="H499" s="4"/>
      <c r="I499" s="4"/>
      <c r="J499" s="5"/>
      <c r="K499" s="5"/>
      <c r="L499" s="5"/>
    </row>
    <row r="500" spans="1:12" ht="15.75" customHeight="1">
      <c r="A500" s="5"/>
      <c r="B500" s="5"/>
      <c r="C500" s="5"/>
      <c r="D500" s="5"/>
      <c r="E500" s="5"/>
      <c r="F500" s="5"/>
      <c r="G500" s="5"/>
      <c r="H500" s="4"/>
      <c r="I500" s="4"/>
      <c r="J500" s="5"/>
      <c r="K500" s="5"/>
      <c r="L500" s="5"/>
    </row>
    <row r="501" spans="1:12" ht="15.75" customHeight="1">
      <c r="A501" s="5"/>
      <c r="B501" s="5"/>
      <c r="C501" s="5"/>
      <c r="D501" s="5"/>
      <c r="E501" s="5"/>
      <c r="F501" s="5"/>
      <c r="G501" s="5"/>
      <c r="H501" s="4"/>
      <c r="I501" s="4"/>
      <c r="J501" s="5"/>
      <c r="K501" s="5"/>
      <c r="L501" s="5"/>
    </row>
    <row r="502" spans="1:12" ht="15.75" customHeight="1">
      <c r="A502" s="5"/>
      <c r="B502" s="5"/>
      <c r="C502" s="5"/>
      <c r="D502" s="5"/>
      <c r="E502" s="5"/>
      <c r="F502" s="5"/>
      <c r="G502" s="5"/>
      <c r="H502" s="4"/>
      <c r="I502" s="4"/>
      <c r="J502" s="5"/>
      <c r="K502" s="5"/>
      <c r="L502" s="5"/>
    </row>
    <row r="503" spans="1:12" ht="15.75" customHeight="1">
      <c r="A503" s="5"/>
      <c r="B503" s="5"/>
      <c r="C503" s="5"/>
      <c r="D503" s="5"/>
      <c r="E503" s="5"/>
      <c r="F503" s="5"/>
      <c r="G503" s="5"/>
      <c r="H503" s="4"/>
      <c r="I503" s="4"/>
      <c r="J503" s="5"/>
      <c r="K503" s="5"/>
      <c r="L503" s="5"/>
    </row>
    <row r="504" spans="1:12" ht="15.75" customHeight="1">
      <c r="A504" s="5"/>
      <c r="B504" s="5"/>
      <c r="C504" s="5"/>
      <c r="D504" s="5"/>
      <c r="E504" s="5"/>
      <c r="F504" s="5"/>
      <c r="G504" s="5"/>
      <c r="H504" s="4"/>
      <c r="I504" s="4"/>
      <c r="J504" s="5"/>
      <c r="K504" s="5"/>
      <c r="L504" s="5"/>
    </row>
    <row r="505" spans="1:12" ht="15.75" customHeight="1">
      <c r="A505" s="5"/>
      <c r="B505" s="5"/>
      <c r="C505" s="5"/>
      <c r="D505" s="5"/>
      <c r="E505" s="5"/>
      <c r="F505" s="5"/>
      <c r="G505" s="5"/>
      <c r="H505" s="4"/>
      <c r="I505" s="4"/>
      <c r="J505" s="5"/>
      <c r="K505" s="5"/>
      <c r="L505" s="5"/>
    </row>
    <row r="506" spans="1:12" ht="15.75" customHeight="1">
      <c r="A506" s="5"/>
      <c r="B506" s="5"/>
      <c r="C506" s="5"/>
      <c r="D506" s="5"/>
      <c r="E506" s="5"/>
      <c r="F506" s="5"/>
      <c r="G506" s="5"/>
      <c r="H506" s="4"/>
      <c r="I506" s="4"/>
      <c r="J506" s="5"/>
      <c r="K506" s="5"/>
      <c r="L506" s="5"/>
    </row>
    <row r="507" spans="1:12" ht="15.75" customHeight="1">
      <c r="A507" s="5"/>
      <c r="B507" s="5"/>
      <c r="C507" s="5"/>
      <c r="D507" s="5"/>
      <c r="E507" s="5"/>
      <c r="F507" s="5"/>
      <c r="G507" s="5"/>
      <c r="H507" s="4"/>
      <c r="I507" s="4"/>
      <c r="J507" s="5"/>
      <c r="K507" s="5"/>
      <c r="L507" s="5"/>
    </row>
    <row r="508" spans="1:12" ht="15.75" customHeight="1">
      <c r="A508" s="5"/>
      <c r="B508" s="5"/>
      <c r="C508" s="5"/>
      <c r="D508" s="5"/>
      <c r="E508" s="5"/>
      <c r="F508" s="5"/>
      <c r="G508" s="5"/>
      <c r="H508" s="4"/>
      <c r="I508" s="4"/>
      <c r="J508" s="5"/>
      <c r="K508" s="5"/>
      <c r="L508" s="5"/>
    </row>
    <row r="509" spans="1:12" ht="15.75" customHeight="1">
      <c r="A509" s="5"/>
      <c r="B509" s="5"/>
      <c r="C509" s="5"/>
      <c r="D509" s="5"/>
      <c r="E509" s="5"/>
      <c r="F509" s="5"/>
      <c r="G509" s="5"/>
      <c r="H509" s="4"/>
      <c r="I509" s="4"/>
      <c r="J509" s="5"/>
      <c r="K509" s="5"/>
      <c r="L509" s="5"/>
    </row>
    <row r="510" spans="1:12" ht="15.75" customHeight="1">
      <c r="A510" s="5"/>
      <c r="B510" s="5"/>
      <c r="C510" s="5"/>
      <c r="D510" s="5"/>
      <c r="E510" s="5"/>
      <c r="F510" s="5"/>
      <c r="G510" s="5"/>
      <c r="H510" s="4"/>
      <c r="I510" s="4"/>
      <c r="J510" s="5"/>
      <c r="K510" s="5"/>
      <c r="L510" s="5"/>
    </row>
    <row r="511" spans="1:12" ht="15.75" customHeight="1">
      <c r="A511" s="5"/>
      <c r="B511" s="5"/>
      <c r="C511" s="5"/>
      <c r="D511" s="5"/>
      <c r="E511" s="5"/>
      <c r="F511" s="5"/>
      <c r="G511" s="5"/>
      <c r="H511" s="4"/>
      <c r="I511" s="4"/>
      <c r="J511" s="5"/>
      <c r="K511" s="5"/>
      <c r="L511" s="5"/>
    </row>
    <row r="512" spans="1:12" ht="15.75" customHeight="1">
      <c r="A512" s="5"/>
      <c r="B512" s="5"/>
      <c r="C512" s="5"/>
      <c r="D512" s="5"/>
      <c r="E512" s="5"/>
      <c r="F512" s="5"/>
      <c r="G512" s="5"/>
      <c r="H512" s="4"/>
      <c r="I512" s="4"/>
      <c r="J512" s="5"/>
      <c r="K512" s="5"/>
      <c r="L512" s="5"/>
    </row>
    <row r="513" spans="1:12" ht="15.75" customHeight="1">
      <c r="A513" s="5"/>
      <c r="B513" s="5"/>
      <c r="C513" s="5"/>
      <c r="D513" s="5"/>
      <c r="E513" s="5"/>
      <c r="F513" s="5"/>
      <c r="G513" s="5"/>
      <c r="H513" s="4"/>
      <c r="I513" s="4"/>
      <c r="J513" s="5"/>
      <c r="K513" s="5"/>
      <c r="L513" s="5"/>
    </row>
    <row r="514" spans="1:12" ht="15.75" customHeight="1">
      <c r="A514" s="5"/>
      <c r="B514" s="5"/>
      <c r="C514" s="5"/>
      <c r="D514" s="5"/>
      <c r="E514" s="5"/>
      <c r="F514" s="5"/>
      <c r="G514" s="5"/>
      <c r="H514" s="4"/>
      <c r="I514" s="4"/>
      <c r="J514" s="5"/>
      <c r="K514" s="5"/>
      <c r="L514" s="5"/>
    </row>
    <row r="515" spans="1:12" ht="15.75" customHeight="1">
      <c r="A515" s="5"/>
      <c r="B515" s="5"/>
      <c r="C515" s="5"/>
      <c r="D515" s="5"/>
      <c r="E515" s="5"/>
      <c r="F515" s="5"/>
      <c r="G515" s="5"/>
      <c r="H515" s="4"/>
      <c r="I515" s="4"/>
      <c r="J515" s="5"/>
      <c r="K515" s="5"/>
      <c r="L515" s="5"/>
    </row>
    <row r="516" spans="1:12" ht="15.75" customHeight="1">
      <c r="A516" s="5"/>
      <c r="B516" s="5"/>
      <c r="C516" s="5"/>
      <c r="D516" s="5"/>
      <c r="E516" s="5"/>
      <c r="F516" s="5"/>
      <c r="G516" s="5"/>
      <c r="H516" s="4"/>
      <c r="I516" s="4"/>
      <c r="J516" s="5"/>
      <c r="K516" s="5"/>
      <c r="L516" s="5"/>
    </row>
    <row r="517" spans="1:12" ht="15.75" customHeight="1">
      <c r="A517" s="5"/>
      <c r="B517" s="5"/>
      <c r="C517" s="5"/>
      <c r="D517" s="5"/>
      <c r="E517" s="5"/>
      <c r="F517" s="5"/>
      <c r="G517" s="5"/>
      <c r="H517" s="4"/>
      <c r="I517" s="4"/>
      <c r="J517" s="5"/>
      <c r="K517" s="5"/>
      <c r="L517" s="5"/>
    </row>
    <row r="518" spans="1:12" ht="15.75" customHeight="1">
      <c r="A518" s="5"/>
      <c r="B518" s="5"/>
      <c r="C518" s="5"/>
      <c r="D518" s="5"/>
      <c r="E518" s="5"/>
      <c r="F518" s="5"/>
      <c r="G518" s="5"/>
      <c r="H518" s="4"/>
      <c r="I518" s="4"/>
      <c r="J518" s="5"/>
      <c r="K518" s="5"/>
      <c r="L518" s="5"/>
    </row>
    <row r="519" spans="1:12" ht="15.75" customHeight="1">
      <c r="A519" s="5"/>
      <c r="B519" s="5"/>
      <c r="C519" s="5"/>
      <c r="D519" s="5"/>
      <c r="E519" s="5"/>
      <c r="F519" s="5"/>
      <c r="G519" s="5"/>
      <c r="H519" s="4"/>
      <c r="I519" s="4"/>
      <c r="J519" s="5"/>
      <c r="K519" s="5"/>
      <c r="L519" s="5"/>
    </row>
    <row r="520" spans="1:12" ht="15.75" customHeight="1">
      <c r="A520" s="5"/>
      <c r="B520" s="5"/>
      <c r="C520" s="5"/>
      <c r="D520" s="5"/>
      <c r="E520" s="5"/>
      <c r="F520" s="5"/>
      <c r="G520" s="5"/>
      <c r="H520" s="4"/>
      <c r="I520" s="4"/>
      <c r="J520" s="5"/>
      <c r="K520" s="5"/>
      <c r="L520" s="5"/>
    </row>
    <row r="521" spans="1:12" ht="15.75" customHeight="1">
      <c r="A521" s="5"/>
      <c r="B521" s="5"/>
      <c r="C521" s="5"/>
      <c r="D521" s="5"/>
      <c r="E521" s="5"/>
      <c r="F521" s="5"/>
      <c r="G521" s="5"/>
      <c r="H521" s="4"/>
      <c r="I521" s="4"/>
      <c r="J521" s="5"/>
      <c r="K521" s="5"/>
      <c r="L521" s="5"/>
    </row>
    <row r="522" spans="1:12" ht="15.75" customHeight="1">
      <c r="A522" s="5"/>
      <c r="B522" s="5"/>
      <c r="C522" s="5"/>
      <c r="D522" s="5"/>
      <c r="E522" s="5"/>
      <c r="F522" s="5"/>
      <c r="G522" s="5"/>
      <c r="H522" s="4"/>
      <c r="I522" s="4"/>
      <c r="J522" s="5"/>
      <c r="K522" s="5"/>
      <c r="L522" s="5"/>
    </row>
    <row r="523" spans="1:12" ht="15.75" customHeight="1">
      <c r="A523" s="5"/>
      <c r="B523" s="5"/>
      <c r="C523" s="5"/>
      <c r="D523" s="5"/>
      <c r="E523" s="5"/>
      <c r="F523" s="5"/>
      <c r="G523" s="5"/>
      <c r="H523" s="4"/>
      <c r="I523" s="4"/>
      <c r="J523" s="5"/>
      <c r="K523" s="5"/>
      <c r="L523" s="5"/>
    </row>
    <row r="524" spans="1:12" ht="15.75" customHeight="1">
      <c r="A524" s="5"/>
      <c r="B524" s="5"/>
      <c r="C524" s="5"/>
      <c r="D524" s="5"/>
      <c r="E524" s="5"/>
      <c r="F524" s="5"/>
      <c r="G524" s="5"/>
      <c r="H524" s="4"/>
      <c r="I524" s="4"/>
      <c r="J524" s="5"/>
      <c r="K524" s="5"/>
      <c r="L524" s="5"/>
    </row>
    <row r="525" spans="1:12" ht="15.75" customHeight="1">
      <c r="A525" s="5"/>
      <c r="B525" s="5"/>
      <c r="C525" s="5"/>
      <c r="D525" s="5"/>
      <c r="E525" s="5"/>
      <c r="F525" s="5"/>
      <c r="G525" s="5"/>
      <c r="H525" s="4"/>
      <c r="I525" s="4"/>
      <c r="J525" s="5"/>
      <c r="K525" s="5"/>
      <c r="L525" s="5"/>
    </row>
    <row r="526" spans="1:12" ht="15.75" customHeight="1">
      <c r="A526" s="5"/>
      <c r="B526" s="5"/>
      <c r="C526" s="5"/>
      <c r="D526" s="5"/>
      <c r="E526" s="5"/>
      <c r="F526" s="5"/>
      <c r="G526" s="5"/>
      <c r="H526" s="4"/>
      <c r="I526" s="4"/>
      <c r="J526" s="5"/>
      <c r="K526" s="5"/>
      <c r="L526" s="5"/>
    </row>
    <row r="527" spans="1:12" ht="15.75" customHeight="1">
      <c r="A527" s="5"/>
      <c r="B527" s="5"/>
      <c r="C527" s="5"/>
      <c r="D527" s="5"/>
      <c r="E527" s="5"/>
      <c r="F527" s="5"/>
      <c r="G527" s="5"/>
      <c r="H527" s="4"/>
      <c r="I527" s="4"/>
      <c r="J527" s="5"/>
      <c r="K527" s="5"/>
      <c r="L527" s="5"/>
    </row>
    <row r="528" spans="1:12" ht="15.75" customHeight="1">
      <c r="A528" s="5"/>
      <c r="B528" s="5"/>
      <c r="C528" s="5"/>
      <c r="D528" s="5"/>
      <c r="E528" s="5"/>
      <c r="F528" s="5"/>
      <c r="G528" s="5"/>
      <c r="H528" s="4"/>
      <c r="I528" s="4"/>
      <c r="J528" s="5"/>
      <c r="K528" s="5"/>
      <c r="L528" s="5"/>
    </row>
    <row r="529" spans="1:12" ht="15.75" customHeight="1">
      <c r="A529" s="5"/>
      <c r="B529" s="5"/>
      <c r="C529" s="5"/>
      <c r="D529" s="5"/>
      <c r="E529" s="5"/>
      <c r="F529" s="5"/>
      <c r="G529" s="5"/>
      <c r="H529" s="4"/>
      <c r="I529" s="4"/>
      <c r="J529" s="5"/>
      <c r="K529" s="5"/>
      <c r="L529" s="5"/>
    </row>
    <row r="530" spans="1:12" ht="15.75" customHeight="1">
      <c r="A530" s="5"/>
      <c r="B530" s="5"/>
      <c r="C530" s="5"/>
      <c r="D530" s="5"/>
      <c r="E530" s="5"/>
      <c r="F530" s="5"/>
      <c r="G530" s="5"/>
      <c r="H530" s="4"/>
      <c r="I530" s="4"/>
      <c r="J530" s="5"/>
      <c r="K530" s="5"/>
      <c r="L530" s="5"/>
    </row>
    <row r="531" spans="1:12" ht="15.75" customHeight="1">
      <c r="A531" s="5"/>
      <c r="B531" s="5"/>
      <c r="C531" s="5"/>
      <c r="D531" s="5"/>
      <c r="E531" s="5"/>
      <c r="F531" s="5"/>
      <c r="G531" s="5"/>
      <c r="H531" s="4"/>
      <c r="I531" s="4"/>
      <c r="J531" s="5"/>
      <c r="K531" s="5"/>
      <c r="L531" s="5"/>
    </row>
    <row r="532" spans="1:12" ht="15.75" customHeight="1">
      <c r="A532" s="5"/>
      <c r="B532" s="5"/>
      <c r="C532" s="5"/>
      <c r="D532" s="5"/>
      <c r="E532" s="5"/>
      <c r="F532" s="5"/>
      <c r="G532" s="5"/>
      <c r="H532" s="4"/>
      <c r="I532" s="4"/>
      <c r="J532" s="5"/>
      <c r="K532" s="5"/>
      <c r="L532" s="5"/>
    </row>
    <row r="533" spans="1:12" ht="15.75" customHeight="1">
      <c r="A533" s="5"/>
      <c r="B533" s="5"/>
      <c r="C533" s="5"/>
      <c r="D533" s="5"/>
      <c r="E533" s="5"/>
      <c r="F533" s="5"/>
      <c r="G533" s="5"/>
      <c r="H533" s="4"/>
      <c r="I533" s="4"/>
      <c r="J533" s="5"/>
      <c r="K533" s="5"/>
      <c r="L533" s="5"/>
    </row>
    <row r="534" spans="1:12" ht="15.75" customHeight="1">
      <c r="A534" s="5"/>
      <c r="B534" s="5"/>
      <c r="C534" s="5"/>
      <c r="D534" s="5"/>
      <c r="E534" s="5"/>
      <c r="F534" s="5"/>
      <c r="G534" s="5"/>
      <c r="H534" s="4"/>
      <c r="I534" s="4"/>
      <c r="J534" s="5"/>
      <c r="K534" s="5"/>
      <c r="L534" s="5"/>
    </row>
    <row r="535" spans="1:12" ht="15.75" customHeight="1">
      <c r="A535" s="5"/>
      <c r="B535" s="5"/>
      <c r="C535" s="5"/>
      <c r="D535" s="5"/>
      <c r="E535" s="5"/>
      <c r="F535" s="5"/>
      <c r="G535" s="5"/>
      <c r="H535" s="4"/>
      <c r="I535" s="4"/>
      <c r="J535" s="5"/>
      <c r="K535" s="5"/>
      <c r="L535" s="5"/>
    </row>
    <row r="536" spans="1:12" ht="15.75" customHeight="1">
      <c r="A536" s="5"/>
      <c r="B536" s="5"/>
      <c r="C536" s="5"/>
      <c r="D536" s="5"/>
      <c r="E536" s="5"/>
      <c r="F536" s="5"/>
      <c r="G536" s="5"/>
      <c r="H536" s="4"/>
      <c r="I536" s="4"/>
      <c r="J536" s="5"/>
      <c r="K536" s="5"/>
      <c r="L536" s="5"/>
    </row>
    <row r="537" spans="1:12" ht="15.75" customHeight="1">
      <c r="A537" s="5"/>
      <c r="B537" s="5"/>
      <c r="C537" s="5"/>
      <c r="D537" s="5"/>
      <c r="E537" s="5"/>
      <c r="F537" s="5"/>
      <c r="G537" s="5"/>
      <c r="H537" s="4"/>
      <c r="I537" s="4"/>
      <c r="J537" s="5"/>
      <c r="K537" s="5"/>
      <c r="L537" s="5"/>
    </row>
    <row r="538" spans="1:12" ht="15.75" customHeight="1">
      <c r="A538" s="5"/>
      <c r="B538" s="5"/>
      <c r="C538" s="5"/>
      <c r="D538" s="5"/>
      <c r="E538" s="5"/>
      <c r="F538" s="5"/>
      <c r="G538" s="5"/>
      <c r="H538" s="4"/>
      <c r="I538" s="4"/>
      <c r="J538" s="5"/>
      <c r="K538" s="5"/>
      <c r="L538" s="5"/>
    </row>
    <row r="539" spans="1:12" ht="15.75" customHeight="1">
      <c r="A539" s="5"/>
      <c r="B539" s="5"/>
      <c r="C539" s="5"/>
      <c r="D539" s="5"/>
      <c r="E539" s="5"/>
      <c r="F539" s="5"/>
      <c r="G539" s="5"/>
      <c r="H539" s="4"/>
      <c r="I539" s="4"/>
      <c r="J539" s="5"/>
      <c r="K539" s="5"/>
      <c r="L539" s="5"/>
    </row>
    <row r="540" spans="1:12" ht="15.75" customHeight="1">
      <c r="A540" s="5"/>
      <c r="B540" s="5"/>
      <c r="C540" s="5"/>
      <c r="D540" s="5"/>
      <c r="E540" s="5"/>
      <c r="F540" s="5"/>
      <c r="G540" s="5"/>
      <c r="H540" s="4"/>
      <c r="I540" s="4"/>
      <c r="J540" s="5"/>
      <c r="K540" s="5"/>
      <c r="L540" s="5"/>
    </row>
    <row r="541" spans="1:12" ht="15.75" customHeight="1">
      <c r="A541" s="5"/>
      <c r="B541" s="5"/>
      <c r="C541" s="5"/>
      <c r="D541" s="5"/>
      <c r="E541" s="5"/>
      <c r="F541" s="5"/>
      <c r="G541" s="5"/>
      <c r="H541" s="4"/>
      <c r="I541" s="4"/>
      <c r="J541" s="5"/>
      <c r="K541" s="5"/>
      <c r="L541" s="5"/>
    </row>
    <row r="542" spans="1:12" ht="15.75" customHeight="1">
      <c r="A542" s="5"/>
      <c r="B542" s="5"/>
      <c r="C542" s="5"/>
      <c r="D542" s="5"/>
      <c r="E542" s="5"/>
      <c r="F542" s="5"/>
      <c r="G542" s="5"/>
      <c r="H542" s="4"/>
      <c r="I542" s="4"/>
      <c r="J542" s="5"/>
      <c r="K542" s="5"/>
      <c r="L542" s="5"/>
    </row>
    <row r="543" spans="1:12" ht="15.75" customHeight="1">
      <c r="A543" s="5"/>
      <c r="B543" s="5"/>
      <c r="C543" s="5"/>
      <c r="D543" s="5"/>
      <c r="E543" s="5"/>
      <c r="F543" s="5"/>
      <c r="G543" s="5"/>
      <c r="H543" s="4"/>
      <c r="I543" s="4"/>
      <c r="J543" s="5"/>
      <c r="K543" s="5"/>
      <c r="L543" s="5"/>
    </row>
    <row r="544" spans="1:12" ht="15.75" customHeight="1">
      <c r="A544" s="5"/>
      <c r="B544" s="5"/>
      <c r="C544" s="5"/>
      <c r="D544" s="5"/>
      <c r="E544" s="5"/>
      <c r="F544" s="5"/>
      <c r="G544" s="5"/>
      <c r="H544" s="4"/>
      <c r="I544" s="4"/>
      <c r="J544" s="5"/>
      <c r="K544" s="5"/>
      <c r="L544" s="5"/>
    </row>
    <row r="545" spans="1:12" ht="15.75" customHeight="1">
      <c r="A545" s="5"/>
      <c r="B545" s="5"/>
      <c r="C545" s="5"/>
      <c r="D545" s="5"/>
      <c r="E545" s="5"/>
      <c r="F545" s="5"/>
      <c r="G545" s="5"/>
      <c r="H545" s="4"/>
      <c r="I545" s="4"/>
      <c r="J545" s="5"/>
      <c r="K545" s="5"/>
      <c r="L545" s="5"/>
    </row>
    <row r="546" spans="1:12" ht="15.75" customHeight="1">
      <c r="A546" s="5"/>
      <c r="B546" s="5"/>
      <c r="C546" s="5"/>
      <c r="D546" s="5"/>
      <c r="E546" s="5"/>
      <c r="F546" s="5"/>
      <c r="G546" s="5"/>
      <c r="H546" s="4"/>
      <c r="I546" s="4"/>
      <c r="J546" s="5"/>
      <c r="K546" s="5"/>
      <c r="L546" s="5"/>
    </row>
    <row r="547" spans="1:12" ht="15.75" customHeight="1">
      <c r="A547" s="5"/>
      <c r="B547" s="5"/>
      <c r="C547" s="5"/>
      <c r="D547" s="5"/>
      <c r="E547" s="5"/>
      <c r="F547" s="5"/>
      <c r="G547" s="5"/>
      <c r="H547" s="4"/>
      <c r="I547" s="4"/>
      <c r="J547" s="5"/>
      <c r="K547" s="5"/>
      <c r="L547" s="5"/>
    </row>
    <row r="548" spans="1:12" ht="15.75" customHeight="1">
      <c r="A548" s="5"/>
      <c r="B548" s="5"/>
      <c r="C548" s="5"/>
      <c r="D548" s="5"/>
      <c r="E548" s="5"/>
      <c r="F548" s="5"/>
      <c r="G548" s="5"/>
      <c r="H548" s="4"/>
      <c r="I548" s="4"/>
      <c r="J548" s="5"/>
      <c r="K548" s="5"/>
      <c r="L548" s="5"/>
    </row>
    <row r="549" spans="1:12" ht="15.75" customHeight="1">
      <c r="A549" s="5"/>
      <c r="B549" s="5"/>
      <c r="C549" s="5"/>
      <c r="D549" s="5"/>
      <c r="E549" s="5"/>
      <c r="F549" s="5"/>
      <c r="G549" s="5"/>
      <c r="H549" s="4"/>
      <c r="I549" s="4"/>
      <c r="J549" s="5"/>
      <c r="K549" s="5"/>
      <c r="L549" s="5"/>
    </row>
    <row r="550" spans="1:12" ht="15.75" customHeight="1">
      <c r="A550" s="5"/>
      <c r="B550" s="5"/>
      <c r="C550" s="5"/>
      <c r="D550" s="5"/>
      <c r="E550" s="5"/>
      <c r="F550" s="5"/>
      <c r="G550" s="5"/>
      <c r="H550" s="4"/>
      <c r="I550" s="4"/>
      <c r="J550" s="5"/>
      <c r="K550" s="5"/>
      <c r="L550" s="5"/>
    </row>
    <row r="551" spans="1:12" ht="15.75" customHeight="1">
      <c r="A551" s="5"/>
      <c r="B551" s="5"/>
      <c r="C551" s="5"/>
      <c r="D551" s="5"/>
      <c r="E551" s="5"/>
      <c r="F551" s="5"/>
      <c r="G551" s="5"/>
      <c r="H551" s="4"/>
      <c r="I551" s="4"/>
      <c r="J551" s="5"/>
      <c r="K551" s="5"/>
      <c r="L551" s="5"/>
    </row>
    <row r="552" spans="1:12" ht="15.75" customHeight="1">
      <c r="A552" s="5"/>
      <c r="B552" s="5"/>
      <c r="C552" s="5"/>
      <c r="D552" s="5"/>
      <c r="E552" s="5"/>
      <c r="F552" s="5"/>
      <c r="G552" s="5"/>
      <c r="H552" s="4"/>
      <c r="I552" s="4"/>
      <c r="J552" s="5"/>
      <c r="K552" s="5"/>
      <c r="L552" s="5"/>
    </row>
    <row r="553" spans="1:12" ht="15.75" customHeight="1">
      <c r="A553" s="5"/>
      <c r="B553" s="5"/>
      <c r="C553" s="5"/>
      <c r="D553" s="5"/>
      <c r="E553" s="5"/>
      <c r="F553" s="5"/>
      <c r="G553" s="5"/>
      <c r="H553" s="4"/>
      <c r="I553" s="4"/>
      <c r="J553" s="5"/>
      <c r="K553" s="5"/>
      <c r="L553" s="5"/>
    </row>
    <row r="554" spans="1:12" ht="15.75" customHeight="1">
      <c r="A554" s="5"/>
      <c r="B554" s="5"/>
      <c r="C554" s="5"/>
      <c r="D554" s="5"/>
      <c r="E554" s="5"/>
      <c r="F554" s="5"/>
      <c r="G554" s="5"/>
      <c r="H554" s="4"/>
      <c r="I554" s="4"/>
      <c r="J554" s="5"/>
      <c r="K554" s="5"/>
      <c r="L554" s="5"/>
    </row>
    <row r="555" spans="1:12" ht="15.75" customHeight="1">
      <c r="A555" s="5"/>
      <c r="B555" s="5"/>
      <c r="C555" s="5"/>
      <c r="D555" s="5"/>
      <c r="E555" s="5"/>
      <c r="F555" s="5"/>
      <c r="G555" s="5"/>
      <c r="H555" s="4"/>
      <c r="I555" s="4"/>
      <c r="J555" s="5"/>
      <c r="K555" s="5"/>
      <c r="L555" s="5"/>
    </row>
    <row r="556" spans="1:12" ht="15.75" customHeight="1">
      <c r="A556" s="5"/>
      <c r="B556" s="5"/>
      <c r="C556" s="5"/>
      <c r="D556" s="5"/>
      <c r="E556" s="5"/>
      <c r="F556" s="5"/>
      <c r="G556" s="5"/>
      <c r="H556" s="4"/>
      <c r="I556" s="4"/>
      <c r="J556" s="5"/>
      <c r="K556" s="5"/>
      <c r="L556" s="5"/>
    </row>
    <row r="557" spans="1:12" ht="15.75" customHeight="1">
      <c r="A557" s="5"/>
      <c r="B557" s="5"/>
      <c r="C557" s="5"/>
      <c r="D557" s="5"/>
      <c r="E557" s="5"/>
      <c r="F557" s="5"/>
      <c r="G557" s="5"/>
      <c r="H557" s="4"/>
      <c r="I557" s="4"/>
      <c r="J557" s="5"/>
      <c r="K557" s="5"/>
      <c r="L557" s="5"/>
    </row>
    <row r="558" spans="1:12" ht="15.75" customHeight="1">
      <c r="A558" s="5"/>
      <c r="B558" s="5"/>
      <c r="C558" s="5"/>
      <c r="D558" s="5"/>
      <c r="E558" s="5"/>
      <c r="F558" s="5"/>
      <c r="G558" s="5"/>
      <c r="H558" s="4"/>
      <c r="I558" s="4"/>
      <c r="J558" s="5"/>
      <c r="K558" s="5"/>
      <c r="L558" s="5"/>
    </row>
    <row r="559" spans="1:12" ht="15.75" customHeight="1">
      <c r="A559" s="5"/>
      <c r="B559" s="5"/>
      <c r="C559" s="5"/>
      <c r="D559" s="5"/>
      <c r="E559" s="5"/>
      <c r="F559" s="5"/>
      <c r="G559" s="5"/>
      <c r="H559" s="4"/>
      <c r="I559" s="4"/>
      <c r="J559" s="5"/>
      <c r="K559" s="5"/>
      <c r="L559" s="5"/>
    </row>
    <row r="560" spans="1:12" ht="15.75" customHeight="1">
      <c r="A560" s="5"/>
      <c r="B560" s="5"/>
      <c r="C560" s="5"/>
      <c r="D560" s="5"/>
      <c r="E560" s="5"/>
      <c r="F560" s="5"/>
      <c r="G560" s="5"/>
      <c r="H560" s="4"/>
      <c r="I560" s="4"/>
      <c r="J560" s="5"/>
      <c r="K560" s="5"/>
      <c r="L560" s="5"/>
    </row>
    <row r="561" spans="1:12" ht="15.75" customHeight="1">
      <c r="A561" s="5"/>
      <c r="B561" s="5"/>
      <c r="C561" s="5"/>
      <c r="D561" s="5"/>
      <c r="E561" s="5"/>
      <c r="F561" s="5"/>
      <c r="G561" s="5"/>
      <c r="H561" s="4"/>
      <c r="I561" s="4"/>
      <c r="J561" s="5"/>
      <c r="K561" s="5"/>
      <c r="L561" s="5"/>
    </row>
    <row r="562" spans="1:12" ht="15.75" customHeight="1">
      <c r="A562" s="5"/>
      <c r="B562" s="5"/>
      <c r="C562" s="5"/>
      <c r="D562" s="5"/>
      <c r="E562" s="5"/>
      <c r="F562" s="5"/>
      <c r="G562" s="5"/>
      <c r="H562" s="4"/>
      <c r="I562" s="4"/>
      <c r="J562" s="5"/>
      <c r="K562" s="5"/>
      <c r="L562" s="5"/>
    </row>
    <row r="563" spans="1:12" ht="15.75" customHeight="1">
      <c r="A563" s="5"/>
      <c r="B563" s="5"/>
      <c r="C563" s="5"/>
      <c r="D563" s="5"/>
      <c r="E563" s="5"/>
      <c r="F563" s="5"/>
      <c r="G563" s="5"/>
      <c r="H563" s="4"/>
      <c r="J563" s="5"/>
      <c r="K563" s="5"/>
      <c r="L563" s="5"/>
    </row>
    <row r="564" spans="1:12" ht="15.75" customHeight="1">
      <c r="A564" s="5"/>
      <c r="B564" s="5"/>
      <c r="C564" s="5"/>
      <c r="D564" s="5"/>
      <c r="E564" s="5"/>
      <c r="F564" s="5"/>
      <c r="G564" s="5"/>
      <c r="H564" s="4"/>
      <c r="J564" s="5"/>
      <c r="K564" s="5"/>
      <c r="L564" s="5"/>
    </row>
    <row r="565" spans="1:12" ht="15.75" customHeight="1">
      <c r="A565" s="5"/>
      <c r="B565" s="5"/>
      <c r="C565" s="5"/>
      <c r="D565" s="5"/>
      <c r="E565" s="5"/>
      <c r="F565" s="5"/>
      <c r="G565" s="5"/>
      <c r="H565" s="4"/>
      <c r="J565" s="5"/>
      <c r="K565" s="5"/>
      <c r="L565" s="5"/>
    </row>
    <row r="566" spans="1:12" ht="15.75" customHeight="1">
      <c r="A566" s="5"/>
      <c r="B566" s="5"/>
      <c r="C566" s="5"/>
      <c r="D566" s="5"/>
      <c r="E566" s="5"/>
      <c r="F566" s="5"/>
      <c r="G566" s="5"/>
      <c r="H566" s="4"/>
      <c r="J566" s="5"/>
      <c r="K566" s="5"/>
      <c r="L566" s="5"/>
    </row>
    <row r="567" spans="1:12" ht="15.75" customHeight="1">
      <c r="A567" s="5"/>
      <c r="B567" s="5"/>
      <c r="C567" s="5"/>
      <c r="D567" s="5"/>
      <c r="E567" s="5"/>
      <c r="F567" s="5"/>
      <c r="G567" s="5"/>
      <c r="H567" s="4"/>
      <c r="J567" s="5"/>
      <c r="K567" s="5"/>
      <c r="L567" s="5"/>
    </row>
    <row r="568" spans="1:12" ht="15.75" customHeight="1">
      <c r="A568" s="5"/>
      <c r="B568" s="5"/>
      <c r="C568" s="5"/>
      <c r="D568" s="5"/>
      <c r="E568" s="5"/>
      <c r="F568" s="5"/>
      <c r="G568" s="5"/>
      <c r="H568" s="4"/>
      <c r="J568" s="5"/>
      <c r="K568" s="5"/>
      <c r="L568" s="5"/>
    </row>
    <row r="569" spans="1:12" ht="15.75" customHeight="1">
      <c r="A569" s="5"/>
      <c r="B569" s="5"/>
      <c r="C569" s="5"/>
      <c r="D569" s="5"/>
      <c r="E569" s="5"/>
      <c r="F569" s="5"/>
      <c r="G569" s="5"/>
      <c r="H569" s="4"/>
      <c r="J569" s="5"/>
      <c r="K569" s="5"/>
      <c r="L569" s="5"/>
    </row>
    <row r="570" spans="1:12" ht="15.75" customHeight="1">
      <c r="A570" s="5"/>
      <c r="B570" s="5"/>
      <c r="C570" s="5"/>
      <c r="D570" s="5"/>
      <c r="E570" s="5"/>
      <c r="F570" s="5"/>
      <c r="G570" s="5"/>
      <c r="H570" s="4"/>
      <c r="J570" s="5"/>
      <c r="K570" s="5"/>
      <c r="L570" s="5"/>
    </row>
    <row r="571" spans="1:12" ht="15.75" customHeight="1">
      <c r="A571" s="5"/>
      <c r="B571" s="5"/>
      <c r="C571" s="5"/>
      <c r="D571" s="5"/>
      <c r="E571" s="5"/>
      <c r="F571" s="5"/>
      <c r="G571" s="5"/>
      <c r="H571" s="4"/>
      <c r="J571" s="5"/>
      <c r="K571" s="5"/>
      <c r="L571" s="5"/>
    </row>
    <row r="572" spans="1:12" ht="15.75" customHeight="1">
      <c r="A572" s="5"/>
      <c r="B572" s="5"/>
      <c r="C572" s="5"/>
      <c r="D572" s="5"/>
      <c r="E572" s="5"/>
      <c r="F572" s="5"/>
      <c r="G572" s="5"/>
      <c r="H572" s="4"/>
      <c r="J572" s="5"/>
      <c r="K572" s="5"/>
      <c r="L572" s="5"/>
    </row>
    <row r="573" spans="1:12" ht="15.75" customHeight="1">
      <c r="A573" s="5"/>
      <c r="B573" s="5"/>
      <c r="C573" s="5"/>
      <c r="D573" s="5"/>
      <c r="E573" s="5"/>
      <c r="F573" s="5"/>
      <c r="G573" s="5"/>
      <c r="H573" s="4"/>
      <c r="J573" s="5"/>
      <c r="K573" s="5"/>
      <c r="L573" s="5"/>
    </row>
    <row r="574" spans="1:12" ht="15.75" customHeight="1">
      <c r="A574" s="5"/>
      <c r="B574" s="5"/>
      <c r="C574" s="5"/>
      <c r="D574" s="5"/>
      <c r="E574" s="5"/>
      <c r="F574" s="5"/>
      <c r="G574" s="5"/>
      <c r="H574" s="4"/>
      <c r="J574" s="5"/>
      <c r="K574" s="5"/>
      <c r="L574" s="5"/>
    </row>
    <row r="575" spans="1:12" ht="15.75" customHeight="1">
      <c r="A575" s="5"/>
      <c r="B575" s="5"/>
      <c r="C575" s="5"/>
      <c r="D575" s="5"/>
      <c r="E575" s="5"/>
      <c r="F575" s="5"/>
      <c r="G575" s="5"/>
      <c r="H575" s="4"/>
      <c r="J575" s="5"/>
      <c r="K575" s="5"/>
      <c r="L575" s="5"/>
    </row>
    <row r="576" spans="1:12" ht="15.75" customHeight="1">
      <c r="A576" s="5"/>
      <c r="B576" s="5"/>
      <c r="C576" s="5"/>
      <c r="D576" s="5"/>
      <c r="E576" s="5"/>
      <c r="F576" s="5"/>
      <c r="G576" s="5"/>
      <c r="H576" s="4"/>
      <c r="J576" s="5"/>
      <c r="K576" s="5"/>
      <c r="L576" s="5"/>
    </row>
    <row r="577" spans="1:12" ht="15.75" customHeight="1">
      <c r="A577" s="5"/>
      <c r="B577" s="5"/>
      <c r="C577" s="5"/>
      <c r="D577" s="5"/>
      <c r="E577" s="5"/>
      <c r="F577" s="5"/>
      <c r="G577" s="5"/>
      <c r="H577" s="4"/>
      <c r="J577" s="5"/>
      <c r="K577" s="5"/>
      <c r="L577" s="5"/>
    </row>
    <row r="578" spans="1:12" ht="15.75" customHeight="1">
      <c r="A578" s="5"/>
      <c r="B578" s="5"/>
      <c r="C578" s="5"/>
      <c r="D578" s="5"/>
      <c r="E578" s="5"/>
      <c r="F578" s="5"/>
      <c r="G578" s="5"/>
      <c r="H578" s="4"/>
      <c r="J578" s="5"/>
      <c r="K578" s="5"/>
      <c r="L578" s="5"/>
    </row>
    <row r="579" spans="1:12" ht="15.75" customHeight="1">
      <c r="A579" s="5"/>
      <c r="B579" s="5"/>
      <c r="C579" s="5"/>
      <c r="D579" s="5"/>
      <c r="E579" s="5"/>
      <c r="F579" s="5"/>
      <c r="G579" s="5"/>
      <c r="H579" s="4"/>
      <c r="J579" s="5"/>
      <c r="K579" s="5"/>
      <c r="L579" s="5"/>
    </row>
    <row r="580" spans="1:12" ht="15.75" customHeight="1">
      <c r="A580" s="5"/>
      <c r="B580" s="5"/>
      <c r="C580" s="5"/>
      <c r="D580" s="5"/>
      <c r="E580" s="5"/>
      <c r="F580" s="5"/>
      <c r="G580" s="5"/>
      <c r="H580" s="4"/>
      <c r="J580" s="5"/>
      <c r="K580" s="5"/>
      <c r="L580" s="5"/>
    </row>
    <row r="581" spans="1:12" ht="15.75" customHeight="1">
      <c r="A581" s="5"/>
      <c r="B581" s="5"/>
      <c r="C581" s="5"/>
      <c r="D581" s="5"/>
      <c r="E581" s="5"/>
      <c r="F581" s="5"/>
      <c r="G581" s="5"/>
      <c r="H581" s="4"/>
      <c r="J581" s="5"/>
      <c r="K581" s="5"/>
      <c r="L581" s="5"/>
    </row>
    <row r="582" spans="1:12" ht="15.75" customHeight="1">
      <c r="A582" s="5"/>
      <c r="B582" s="5"/>
      <c r="C582" s="5"/>
      <c r="D582" s="5"/>
      <c r="E582" s="5"/>
      <c r="F582" s="5"/>
      <c r="G582" s="5"/>
      <c r="H582" s="4"/>
      <c r="J582" s="5"/>
      <c r="K582" s="5"/>
      <c r="L582" s="5"/>
    </row>
    <row r="583" spans="1:12" ht="15.75" customHeight="1">
      <c r="A583" s="5"/>
      <c r="B583" s="5"/>
      <c r="C583" s="5"/>
      <c r="D583" s="5"/>
      <c r="E583" s="5"/>
      <c r="F583" s="5"/>
      <c r="G583" s="5"/>
      <c r="H583" s="4"/>
      <c r="J583" s="5"/>
      <c r="K583" s="5"/>
      <c r="L583" s="5"/>
    </row>
    <row r="584" spans="1:12" ht="15.75" customHeight="1">
      <c r="A584" s="5"/>
      <c r="B584" s="5"/>
      <c r="C584" s="5"/>
      <c r="D584" s="5"/>
      <c r="E584" s="5"/>
      <c r="F584" s="5"/>
      <c r="G584" s="5"/>
      <c r="H584" s="4"/>
      <c r="J584" s="5"/>
      <c r="K584" s="5"/>
      <c r="L584" s="5"/>
    </row>
    <row r="585" spans="1:12" ht="15.75" customHeight="1">
      <c r="A585" s="5"/>
      <c r="B585" s="5"/>
      <c r="C585" s="5"/>
      <c r="D585" s="5"/>
      <c r="E585" s="5"/>
      <c r="F585" s="5"/>
      <c r="G585" s="5"/>
      <c r="H585" s="4"/>
      <c r="J585" s="5"/>
      <c r="K585" s="5"/>
      <c r="L585" s="5"/>
    </row>
    <row r="586" spans="1:12" ht="15.75" customHeight="1">
      <c r="A586" s="5"/>
      <c r="B586" s="5"/>
      <c r="C586" s="5"/>
      <c r="D586" s="5"/>
      <c r="E586" s="5"/>
      <c r="F586" s="5"/>
      <c r="G586" s="5"/>
      <c r="H586" s="4"/>
      <c r="J586" s="5"/>
      <c r="K586" s="5"/>
      <c r="L586" s="5"/>
    </row>
    <row r="587" spans="1:12" ht="15.75" customHeight="1">
      <c r="A587" s="5"/>
      <c r="B587" s="5"/>
      <c r="C587" s="5"/>
      <c r="D587" s="5"/>
      <c r="E587" s="5"/>
      <c r="F587" s="5"/>
      <c r="G587" s="5"/>
      <c r="H587" s="4"/>
      <c r="J587" s="5"/>
      <c r="K587" s="5"/>
      <c r="L587" s="5"/>
    </row>
    <row r="588" spans="1:12" ht="15.75" customHeight="1">
      <c r="A588" s="5"/>
      <c r="B588" s="5"/>
      <c r="C588" s="5"/>
      <c r="D588" s="5"/>
      <c r="E588" s="5"/>
      <c r="F588" s="5"/>
      <c r="G588" s="5"/>
      <c r="H588" s="4"/>
      <c r="J588" s="5"/>
      <c r="K588" s="5"/>
      <c r="L588" s="5"/>
    </row>
    <row r="589" spans="1:12" ht="15.75" customHeight="1">
      <c r="A589" s="5"/>
      <c r="B589" s="5"/>
      <c r="C589" s="5"/>
      <c r="D589" s="5"/>
      <c r="E589" s="5"/>
      <c r="F589" s="5"/>
      <c r="G589" s="5"/>
      <c r="H589" s="4"/>
      <c r="J589" s="5"/>
      <c r="K589" s="5"/>
      <c r="L589" s="5"/>
    </row>
    <row r="590" spans="1:12" ht="15.75" customHeight="1">
      <c r="A590" s="5"/>
      <c r="B590" s="5"/>
      <c r="C590" s="5"/>
      <c r="D590" s="5"/>
      <c r="E590" s="5"/>
      <c r="F590" s="5"/>
      <c r="G590" s="5"/>
      <c r="H590" s="4"/>
      <c r="J590" s="5"/>
      <c r="K590" s="5"/>
      <c r="L590" s="5"/>
    </row>
    <row r="591" spans="1:12" ht="15.75" customHeight="1">
      <c r="A591" s="5"/>
      <c r="B591" s="5"/>
      <c r="C591" s="5"/>
      <c r="D591" s="5"/>
      <c r="E591" s="5"/>
      <c r="F591" s="5"/>
      <c r="G591" s="5"/>
      <c r="H591" s="4"/>
      <c r="J591" s="5"/>
      <c r="K591" s="5"/>
      <c r="L591" s="5"/>
    </row>
    <row r="592" spans="1:12" ht="15.75" customHeight="1">
      <c r="A592" s="5"/>
      <c r="B592" s="5"/>
      <c r="C592" s="5"/>
      <c r="D592" s="5"/>
      <c r="E592" s="5"/>
      <c r="F592" s="5"/>
      <c r="G592" s="5"/>
      <c r="H592" s="4"/>
      <c r="J592" s="5"/>
      <c r="K592" s="5"/>
      <c r="L592" s="5"/>
    </row>
    <row r="593" spans="1:12" ht="15.75" customHeight="1">
      <c r="A593" s="5"/>
      <c r="B593" s="5"/>
      <c r="C593" s="5"/>
      <c r="D593" s="5"/>
      <c r="E593" s="5"/>
      <c r="F593" s="5"/>
      <c r="G593" s="5"/>
      <c r="H593" s="4"/>
      <c r="J593" s="5"/>
      <c r="K593" s="5"/>
      <c r="L593" s="5"/>
    </row>
    <row r="594" spans="1:12" ht="15.75" customHeight="1">
      <c r="A594" s="5"/>
      <c r="B594" s="5"/>
      <c r="C594" s="5"/>
      <c r="D594" s="5"/>
      <c r="E594" s="5"/>
      <c r="F594" s="5"/>
      <c r="G594" s="5"/>
      <c r="H594" s="4"/>
      <c r="J594" s="5"/>
      <c r="K594" s="5"/>
      <c r="L594" s="5"/>
    </row>
    <row r="595" spans="1:12" ht="15.75" customHeight="1">
      <c r="A595" s="5"/>
      <c r="B595" s="5"/>
      <c r="C595" s="5"/>
      <c r="D595" s="5"/>
      <c r="E595" s="5"/>
      <c r="F595" s="5"/>
      <c r="G595" s="5"/>
      <c r="H595" s="4"/>
      <c r="J595" s="5"/>
      <c r="K595" s="5"/>
      <c r="L595" s="5"/>
    </row>
    <row r="596" spans="1:12" ht="15.75" customHeight="1">
      <c r="A596" s="5"/>
      <c r="B596" s="5"/>
      <c r="C596" s="5"/>
      <c r="D596" s="5"/>
      <c r="E596" s="5"/>
      <c r="F596" s="5"/>
      <c r="G596" s="5"/>
      <c r="H596" s="4"/>
      <c r="J596" s="5"/>
      <c r="K596" s="5"/>
      <c r="L596" s="5"/>
    </row>
    <row r="597" spans="1:12" ht="15.75" customHeight="1">
      <c r="A597" s="5"/>
      <c r="B597" s="5"/>
      <c r="C597" s="5"/>
      <c r="D597" s="5"/>
      <c r="E597" s="5"/>
      <c r="F597" s="5"/>
      <c r="G597" s="5"/>
      <c r="H597" s="4"/>
      <c r="J597" s="5"/>
      <c r="K597" s="5"/>
      <c r="L597" s="5"/>
    </row>
    <row r="598" spans="1:12" ht="15.75" customHeight="1">
      <c r="A598" s="5"/>
      <c r="B598" s="5"/>
      <c r="C598" s="5"/>
      <c r="D598" s="5"/>
      <c r="E598" s="5"/>
      <c r="F598" s="5"/>
      <c r="G598" s="5"/>
      <c r="H598" s="4"/>
      <c r="J598" s="5"/>
      <c r="K598" s="5"/>
      <c r="L598" s="5"/>
    </row>
    <row r="599" spans="1:12" ht="15.75" customHeight="1">
      <c r="A599" s="5"/>
      <c r="B599" s="5"/>
      <c r="C599" s="5"/>
      <c r="D599" s="5"/>
      <c r="E599" s="5"/>
      <c r="F599" s="5"/>
      <c r="G599" s="5"/>
      <c r="H599" s="4"/>
      <c r="J599" s="5"/>
      <c r="K599" s="5"/>
      <c r="L599" s="5"/>
    </row>
    <row r="600" spans="1:12" ht="15.75" customHeight="1">
      <c r="A600" s="5"/>
      <c r="B600" s="5"/>
      <c r="C600" s="5"/>
      <c r="D600" s="5"/>
      <c r="E600" s="5"/>
      <c r="F600" s="5"/>
      <c r="G600" s="5"/>
      <c r="H600" s="4"/>
      <c r="J600" s="5"/>
      <c r="K600" s="5"/>
      <c r="L600" s="5"/>
    </row>
    <row r="601" spans="1:12" ht="15.75" customHeight="1">
      <c r="A601" s="5"/>
      <c r="B601" s="5"/>
      <c r="C601" s="5"/>
      <c r="D601" s="5"/>
      <c r="E601" s="5"/>
      <c r="F601" s="5"/>
      <c r="G601" s="5"/>
      <c r="H601" s="4"/>
      <c r="J601" s="5"/>
      <c r="K601" s="5"/>
      <c r="L601" s="5"/>
    </row>
    <row r="602" spans="1:12" ht="15.75" customHeight="1">
      <c r="A602" s="5"/>
      <c r="B602" s="5"/>
      <c r="C602" s="5"/>
      <c r="D602" s="5"/>
      <c r="E602" s="5"/>
      <c r="F602" s="5"/>
      <c r="G602" s="5"/>
      <c r="H602" s="4"/>
      <c r="J602" s="5"/>
      <c r="K602" s="5"/>
      <c r="L602" s="5"/>
    </row>
    <row r="603" spans="1:12" ht="15.75" customHeight="1">
      <c r="A603" s="5"/>
      <c r="B603" s="5"/>
      <c r="C603" s="5"/>
      <c r="D603" s="5"/>
      <c r="E603" s="5"/>
      <c r="F603" s="5"/>
      <c r="G603" s="5"/>
      <c r="H603" s="4"/>
      <c r="J603" s="5"/>
      <c r="K603" s="5"/>
      <c r="L603" s="5"/>
    </row>
    <row r="604" spans="1:12" ht="15.75" customHeight="1">
      <c r="A604" s="5"/>
      <c r="B604" s="5"/>
      <c r="C604" s="5"/>
      <c r="D604" s="5"/>
      <c r="E604" s="5"/>
      <c r="F604" s="5"/>
      <c r="G604" s="5"/>
      <c r="H604" s="4"/>
      <c r="J604" s="5"/>
      <c r="K604" s="5"/>
      <c r="L604" s="5"/>
    </row>
    <row r="605" spans="1:12" ht="15.75" customHeight="1">
      <c r="A605" s="5"/>
      <c r="B605" s="5"/>
      <c r="C605" s="5"/>
      <c r="D605" s="5"/>
      <c r="E605" s="5"/>
      <c r="F605" s="5"/>
      <c r="G605" s="5"/>
      <c r="H605" s="4"/>
      <c r="J605" s="5"/>
      <c r="K605" s="5"/>
      <c r="L605" s="5"/>
    </row>
    <row r="606" spans="1:12" ht="15.75" customHeight="1">
      <c r="A606" s="5"/>
      <c r="B606" s="5"/>
      <c r="C606" s="5"/>
      <c r="D606" s="5"/>
      <c r="E606" s="5"/>
      <c r="F606" s="5"/>
      <c r="G606" s="5"/>
      <c r="H606" s="4"/>
      <c r="J606" s="5"/>
      <c r="K606" s="5"/>
      <c r="L606" s="5"/>
    </row>
    <row r="607" spans="1:12" ht="15.75" customHeight="1">
      <c r="A607" s="5"/>
      <c r="B607" s="5"/>
      <c r="C607" s="5"/>
      <c r="D607" s="5"/>
      <c r="E607" s="5"/>
      <c r="F607" s="5"/>
      <c r="G607" s="5"/>
      <c r="H607" s="4"/>
      <c r="J607" s="5"/>
      <c r="K607" s="5"/>
      <c r="L607" s="5"/>
    </row>
    <row r="608" spans="1:12" ht="15.75" customHeight="1">
      <c r="A608" s="5"/>
      <c r="B608" s="5"/>
      <c r="C608" s="5"/>
      <c r="D608" s="5"/>
      <c r="E608" s="5"/>
      <c r="F608" s="5"/>
      <c r="G608" s="5"/>
      <c r="H608" s="4"/>
      <c r="J608" s="5"/>
      <c r="K608" s="5"/>
      <c r="L608" s="5"/>
    </row>
    <row r="609" spans="1:12" ht="15.75" customHeight="1">
      <c r="A609" s="5"/>
      <c r="B609" s="5"/>
      <c r="C609" s="5"/>
      <c r="D609" s="5"/>
      <c r="E609" s="5"/>
      <c r="F609" s="5"/>
      <c r="G609" s="5"/>
      <c r="H609" s="4"/>
      <c r="J609" s="5"/>
      <c r="K609" s="5"/>
      <c r="L609" s="5"/>
    </row>
    <row r="610" spans="1:12" ht="15.75" customHeight="1">
      <c r="A610" s="5"/>
      <c r="B610" s="5"/>
      <c r="C610" s="5"/>
      <c r="D610" s="5"/>
      <c r="E610" s="5"/>
      <c r="F610" s="5"/>
      <c r="G610" s="5"/>
      <c r="H610" s="4"/>
      <c r="J610" s="5"/>
      <c r="K610" s="5"/>
      <c r="L610" s="5"/>
    </row>
    <row r="611" spans="1:12" ht="15.75" customHeight="1">
      <c r="A611" s="5"/>
      <c r="B611" s="5"/>
      <c r="C611" s="5"/>
      <c r="D611" s="5"/>
      <c r="E611" s="5"/>
      <c r="F611" s="5"/>
      <c r="G611" s="5"/>
      <c r="H611" s="4"/>
      <c r="J611" s="5"/>
      <c r="K611" s="5"/>
      <c r="L611" s="5"/>
    </row>
    <row r="612" spans="1:12" ht="15.75" customHeight="1">
      <c r="A612" s="5"/>
      <c r="B612" s="5"/>
      <c r="C612" s="5"/>
      <c r="D612" s="5"/>
      <c r="E612" s="5"/>
      <c r="F612" s="5"/>
      <c r="G612" s="5"/>
      <c r="H612" s="4"/>
      <c r="J612" s="5"/>
      <c r="K612" s="5"/>
      <c r="L612" s="5"/>
    </row>
    <row r="613" spans="1:12" ht="15.75" customHeight="1">
      <c r="A613" s="5"/>
      <c r="B613" s="5"/>
      <c r="C613" s="5"/>
      <c r="D613" s="5"/>
      <c r="E613" s="5"/>
      <c r="F613" s="5"/>
      <c r="G613" s="5"/>
      <c r="H613" s="4"/>
      <c r="J613" s="5"/>
      <c r="K613" s="5"/>
      <c r="L613" s="5"/>
    </row>
    <row r="614" spans="1:12" ht="15.75" customHeight="1">
      <c r="A614" s="5"/>
      <c r="B614" s="5"/>
      <c r="C614" s="5"/>
      <c r="D614" s="5"/>
      <c r="E614" s="5"/>
      <c r="F614" s="5"/>
      <c r="G614" s="5"/>
      <c r="H614" s="4"/>
      <c r="J614" s="5"/>
      <c r="K614" s="5"/>
      <c r="L614" s="5"/>
    </row>
    <row r="615" spans="1:12" ht="15.75" customHeight="1">
      <c r="A615" s="5"/>
      <c r="B615" s="5"/>
      <c r="C615" s="5"/>
      <c r="D615" s="5"/>
      <c r="E615" s="5"/>
      <c r="F615" s="5"/>
      <c r="G615" s="5"/>
      <c r="H615" s="4"/>
      <c r="J615" s="5"/>
      <c r="K615" s="5"/>
      <c r="L615" s="5"/>
    </row>
    <row r="616" spans="1:12" ht="15.75" customHeight="1">
      <c r="A616" s="5"/>
      <c r="B616" s="5"/>
      <c r="C616" s="5"/>
      <c r="D616" s="5"/>
      <c r="E616" s="5"/>
      <c r="F616" s="5"/>
      <c r="G616" s="5"/>
      <c r="H616" s="4"/>
      <c r="J616" s="5"/>
      <c r="K616" s="5"/>
      <c r="L616" s="5"/>
    </row>
    <row r="617" spans="1:12" ht="15.75" customHeight="1">
      <c r="A617" s="5"/>
      <c r="B617" s="5"/>
      <c r="C617" s="5"/>
      <c r="D617" s="5"/>
      <c r="E617" s="5"/>
      <c r="F617" s="5"/>
      <c r="G617" s="5"/>
      <c r="H617" s="4"/>
      <c r="J617" s="5"/>
      <c r="K617" s="5"/>
      <c r="L617" s="5"/>
    </row>
    <row r="618" spans="1:12" ht="15.75" customHeight="1">
      <c r="A618" s="5"/>
      <c r="B618" s="5"/>
      <c r="C618" s="5"/>
      <c r="D618" s="5"/>
      <c r="E618" s="5"/>
      <c r="F618" s="5"/>
      <c r="G618" s="5"/>
      <c r="H618" s="4"/>
      <c r="J618" s="5"/>
      <c r="K618" s="5"/>
      <c r="L618" s="5"/>
    </row>
    <row r="619" spans="1:12" ht="15.75" customHeight="1">
      <c r="A619" s="5"/>
      <c r="B619" s="5"/>
      <c r="C619" s="5"/>
      <c r="D619" s="5"/>
      <c r="E619" s="5"/>
      <c r="F619" s="5"/>
      <c r="G619" s="5"/>
      <c r="H619" s="4"/>
      <c r="J619" s="5"/>
      <c r="K619" s="5"/>
      <c r="L619" s="5"/>
    </row>
    <row r="620" spans="1:12" ht="15.75" customHeight="1">
      <c r="A620" s="5"/>
      <c r="B620" s="5"/>
      <c r="C620" s="5"/>
      <c r="D620" s="5"/>
      <c r="E620" s="5"/>
      <c r="F620" s="5"/>
      <c r="G620" s="5"/>
      <c r="H620" s="4"/>
      <c r="J620" s="5"/>
      <c r="K620" s="5"/>
      <c r="L620" s="5"/>
    </row>
    <row r="621" spans="1:12" ht="15.75" customHeight="1">
      <c r="A621" s="5"/>
      <c r="B621" s="5"/>
      <c r="C621" s="5"/>
      <c r="D621" s="5"/>
      <c r="E621" s="5"/>
      <c r="F621" s="5"/>
      <c r="G621" s="5"/>
      <c r="H621" s="4"/>
      <c r="J621" s="5"/>
      <c r="K621" s="5"/>
      <c r="L621" s="5"/>
    </row>
    <row r="622" spans="1:12" ht="15.75" customHeight="1">
      <c r="A622" s="5"/>
      <c r="B622" s="5"/>
      <c r="C622" s="5"/>
      <c r="D622" s="5"/>
      <c r="E622" s="5"/>
      <c r="F622" s="5"/>
      <c r="G622" s="5"/>
      <c r="H622" s="4"/>
      <c r="J622" s="5"/>
      <c r="K622" s="5"/>
      <c r="L622" s="5"/>
    </row>
    <row r="623" spans="1:12" ht="15.75" customHeight="1">
      <c r="A623" s="5"/>
      <c r="B623" s="5"/>
      <c r="C623" s="5"/>
      <c r="D623" s="5"/>
      <c r="E623" s="5"/>
      <c r="F623" s="5"/>
      <c r="G623" s="5"/>
      <c r="H623" s="4"/>
      <c r="J623" s="5"/>
      <c r="K623" s="5"/>
      <c r="L623" s="5"/>
    </row>
    <row r="624" spans="1:12" ht="15.75" customHeight="1">
      <c r="A624" s="5"/>
      <c r="B624" s="5"/>
      <c r="C624" s="5"/>
      <c r="D624" s="5"/>
      <c r="E624" s="5"/>
      <c r="F624" s="5"/>
      <c r="G624" s="5"/>
      <c r="H624" s="4"/>
      <c r="J624" s="5"/>
      <c r="K624" s="5"/>
      <c r="L624" s="5"/>
    </row>
    <row r="625" spans="1:12" ht="15.75" customHeight="1">
      <c r="A625" s="5"/>
      <c r="B625" s="5"/>
      <c r="C625" s="5"/>
      <c r="D625" s="5"/>
      <c r="E625" s="5"/>
      <c r="F625" s="5"/>
      <c r="G625" s="5"/>
      <c r="H625" s="4"/>
      <c r="J625" s="5"/>
      <c r="K625" s="5"/>
      <c r="L625" s="5"/>
    </row>
    <row r="626" spans="1:12" ht="15.75" customHeight="1">
      <c r="A626" s="5"/>
      <c r="B626" s="5"/>
      <c r="C626" s="5"/>
      <c r="D626" s="5"/>
      <c r="E626" s="5"/>
      <c r="F626" s="5"/>
      <c r="G626" s="5"/>
      <c r="H626" s="4"/>
      <c r="J626" s="5"/>
      <c r="K626" s="5"/>
      <c r="L626" s="5"/>
    </row>
    <row r="627" spans="1:12" ht="15.75" customHeight="1">
      <c r="A627" s="5"/>
      <c r="B627" s="5"/>
      <c r="C627" s="5"/>
      <c r="D627" s="5"/>
      <c r="E627" s="5"/>
      <c r="F627" s="5"/>
      <c r="G627" s="5"/>
      <c r="H627" s="4"/>
      <c r="J627" s="5"/>
      <c r="K627" s="5"/>
      <c r="L627" s="5"/>
    </row>
    <row r="628" spans="1:12" ht="15.75" customHeight="1">
      <c r="A628" s="5"/>
      <c r="B628" s="5"/>
      <c r="C628" s="5"/>
      <c r="D628" s="5"/>
      <c r="E628" s="5"/>
      <c r="F628" s="5"/>
      <c r="G628" s="5"/>
      <c r="H628" s="4"/>
      <c r="J628" s="5"/>
      <c r="K628" s="5"/>
      <c r="L628" s="5"/>
    </row>
    <row r="629" spans="1:12" ht="15.75" customHeight="1">
      <c r="A629" s="5"/>
      <c r="B629" s="5"/>
      <c r="C629" s="5"/>
      <c r="D629" s="5"/>
      <c r="E629" s="5"/>
      <c r="F629" s="5"/>
      <c r="G629" s="5"/>
      <c r="H629" s="4"/>
      <c r="J629" s="5"/>
      <c r="K629" s="5"/>
      <c r="L629" s="5"/>
    </row>
    <row r="630" spans="1:12" ht="15.75" customHeight="1">
      <c r="A630" s="5"/>
      <c r="B630" s="5"/>
      <c r="C630" s="5"/>
      <c r="D630" s="5"/>
      <c r="E630" s="5"/>
      <c r="F630" s="5"/>
      <c r="G630" s="5"/>
      <c r="H630" s="4"/>
      <c r="J630" s="5"/>
      <c r="K630" s="5"/>
      <c r="L630" s="5"/>
    </row>
    <row r="631" spans="1:12" ht="15.75" customHeight="1">
      <c r="A631" s="5"/>
      <c r="B631" s="5"/>
      <c r="C631" s="5"/>
      <c r="D631" s="5"/>
      <c r="E631" s="5"/>
      <c r="F631" s="5"/>
      <c r="G631" s="5"/>
      <c r="H631" s="4"/>
      <c r="J631" s="5"/>
      <c r="K631" s="5"/>
      <c r="L631" s="5"/>
    </row>
    <row r="632" spans="1:12" ht="15.75" customHeight="1">
      <c r="A632" s="5"/>
      <c r="B632" s="5"/>
      <c r="C632" s="5"/>
      <c r="D632" s="5"/>
      <c r="E632" s="5"/>
      <c r="F632" s="5"/>
      <c r="G632" s="5"/>
      <c r="H632" s="4"/>
      <c r="J632" s="5"/>
      <c r="K632" s="5"/>
      <c r="L632" s="5"/>
    </row>
    <row r="633" spans="1:12" ht="15.75" customHeight="1">
      <c r="A633" s="5"/>
      <c r="B633" s="5"/>
      <c r="C633" s="5"/>
      <c r="D633" s="5"/>
      <c r="E633" s="5"/>
      <c r="F633" s="5"/>
      <c r="G633" s="5"/>
      <c r="H633" s="4"/>
      <c r="J633" s="5"/>
      <c r="K633" s="5"/>
      <c r="L633" s="5"/>
    </row>
    <row r="634" spans="1:12" ht="15.75" customHeight="1">
      <c r="A634" s="5"/>
      <c r="B634" s="5"/>
      <c r="C634" s="5"/>
      <c r="D634" s="5"/>
      <c r="E634" s="5"/>
      <c r="F634" s="5"/>
      <c r="G634" s="5"/>
      <c r="H634" s="4"/>
      <c r="J634" s="5"/>
      <c r="K634" s="5"/>
      <c r="L634" s="5"/>
    </row>
    <row r="635" spans="1:12" ht="15.75" customHeight="1">
      <c r="A635" s="5"/>
      <c r="B635" s="5"/>
      <c r="C635" s="5"/>
      <c r="D635" s="5"/>
      <c r="E635" s="5"/>
      <c r="F635" s="5"/>
      <c r="G635" s="5"/>
      <c r="H635" s="4"/>
      <c r="J635" s="5"/>
      <c r="K635" s="5"/>
      <c r="L635" s="5"/>
    </row>
    <row r="636" spans="1:12" ht="15.75" customHeight="1">
      <c r="A636" s="5"/>
      <c r="B636" s="5"/>
      <c r="C636" s="5"/>
      <c r="D636" s="5"/>
      <c r="E636" s="5"/>
      <c r="F636" s="5"/>
      <c r="G636" s="5"/>
      <c r="H636" s="4"/>
      <c r="J636" s="5"/>
      <c r="K636" s="5"/>
      <c r="L636" s="5"/>
    </row>
    <row r="637" spans="1:12" ht="15.75" customHeight="1">
      <c r="A637" s="5"/>
      <c r="B637" s="5"/>
      <c r="C637" s="5"/>
      <c r="D637" s="5"/>
      <c r="E637" s="5"/>
      <c r="F637" s="5"/>
      <c r="G637" s="5"/>
      <c r="H637" s="4"/>
      <c r="J637" s="5"/>
      <c r="K637" s="5"/>
      <c r="L637" s="5"/>
    </row>
    <row r="638" spans="1:12" ht="15.75" customHeight="1">
      <c r="A638" s="5"/>
      <c r="B638" s="5"/>
      <c r="C638" s="5"/>
      <c r="D638" s="5"/>
      <c r="E638" s="5"/>
      <c r="F638" s="5"/>
      <c r="G638" s="5"/>
      <c r="H638" s="4"/>
      <c r="J638" s="5"/>
      <c r="K638" s="5"/>
      <c r="L638" s="5"/>
    </row>
    <row r="639" spans="1:12" ht="15.75" customHeight="1">
      <c r="A639" s="5"/>
      <c r="B639" s="5"/>
      <c r="C639" s="5"/>
      <c r="D639" s="5"/>
      <c r="E639" s="5"/>
      <c r="F639" s="5"/>
      <c r="G639" s="5"/>
      <c r="H639" s="4"/>
      <c r="J639" s="5"/>
      <c r="K639" s="5"/>
      <c r="L639" s="5"/>
    </row>
    <row r="640" spans="1:12" ht="15.75" customHeight="1">
      <c r="A640" s="5"/>
      <c r="B640" s="5"/>
      <c r="C640" s="5"/>
      <c r="D640" s="5"/>
      <c r="E640" s="5"/>
      <c r="F640" s="5"/>
      <c r="G640" s="5"/>
      <c r="H640" s="4"/>
      <c r="J640" s="5"/>
      <c r="K640" s="5"/>
      <c r="L640" s="5"/>
    </row>
    <row r="641" spans="1:12" ht="15.75" customHeight="1">
      <c r="A641" s="5"/>
      <c r="B641" s="5"/>
      <c r="C641" s="5"/>
      <c r="D641" s="5"/>
      <c r="E641" s="5"/>
      <c r="F641" s="5"/>
      <c r="G641" s="5"/>
      <c r="H641" s="4"/>
      <c r="J641" s="5"/>
      <c r="K641" s="5"/>
      <c r="L641" s="5"/>
    </row>
    <row r="642" spans="1:12" ht="15.75" customHeight="1">
      <c r="A642" s="5"/>
      <c r="B642" s="5"/>
      <c r="C642" s="5"/>
      <c r="D642" s="5"/>
      <c r="E642" s="5"/>
      <c r="F642" s="5"/>
      <c r="G642" s="5"/>
      <c r="H642" s="4"/>
      <c r="J642" s="5"/>
      <c r="K642" s="5"/>
      <c r="L642" s="5"/>
    </row>
    <row r="643" spans="1:12" ht="15.75" customHeight="1">
      <c r="A643" s="5"/>
      <c r="B643" s="5"/>
      <c r="C643" s="5"/>
      <c r="D643" s="5"/>
      <c r="E643" s="5"/>
      <c r="F643" s="5"/>
      <c r="G643" s="5"/>
      <c r="H643" s="4"/>
      <c r="J643" s="5"/>
      <c r="K643" s="5"/>
      <c r="L643" s="5"/>
    </row>
    <row r="644" spans="1:12" ht="15.75" customHeight="1">
      <c r="A644" s="5"/>
      <c r="B644" s="5"/>
      <c r="C644" s="5"/>
      <c r="D644" s="5"/>
      <c r="E644" s="5"/>
      <c r="F644" s="5"/>
      <c r="G644" s="5"/>
      <c r="H644" s="4"/>
      <c r="J644" s="5"/>
      <c r="K644" s="5"/>
      <c r="L644" s="5"/>
    </row>
    <row r="645" spans="1:12" ht="15.75" customHeight="1">
      <c r="A645" s="5"/>
      <c r="B645" s="5"/>
      <c r="C645" s="5"/>
      <c r="D645" s="5"/>
      <c r="E645" s="5"/>
      <c r="F645" s="5"/>
      <c r="G645" s="5"/>
      <c r="H645" s="4"/>
      <c r="J645" s="5"/>
      <c r="K645" s="5"/>
      <c r="L645" s="5"/>
    </row>
    <row r="646" spans="1:12" ht="15.75" customHeight="1">
      <c r="A646" s="5"/>
      <c r="B646" s="5"/>
      <c r="C646" s="5"/>
      <c r="D646" s="5"/>
      <c r="E646" s="5"/>
      <c r="F646" s="5"/>
      <c r="G646" s="5"/>
      <c r="H646" s="4"/>
      <c r="J646" s="5"/>
      <c r="K646" s="5"/>
      <c r="L646" s="5"/>
    </row>
    <row r="647" spans="1:12" ht="15.75" customHeight="1">
      <c r="A647" s="5"/>
      <c r="B647" s="5"/>
      <c r="C647" s="5"/>
      <c r="D647" s="5"/>
      <c r="E647" s="5"/>
      <c r="F647" s="5"/>
      <c r="G647" s="5"/>
      <c r="H647" s="4"/>
      <c r="J647" s="5"/>
      <c r="K647" s="5"/>
      <c r="L647" s="5"/>
    </row>
    <row r="648" spans="1:12" ht="15.75" customHeight="1">
      <c r="A648" s="5"/>
      <c r="B648" s="5"/>
      <c r="C648" s="5"/>
      <c r="D648" s="5"/>
      <c r="E648" s="5"/>
      <c r="F648" s="5"/>
      <c r="G648" s="5"/>
      <c r="H648" s="4"/>
      <c r="J648" s="5"/>
      <c r="K648" s="5"/>
      <c r="L648" s="5"/>
    </row>
    <row r="649" spans="1:12" ht="15.75" customHeight="1">
      <c r="A649" s="5"/>
      <c r="B649" s="5"/>
      <c r="C649" s="5"/>
      <c r="D649" s="5"/>
      <c r="E649" s="5"/>
      <c r="F649" s="5"/>
      <c r="G649" s="5"/>
      <c r="H649" s="4"/>
      <c r="J649" s="5"/>
      <c r="K649" s="5"/>
      <c r="L649" s="5"/>
    </row>
    <row r="650" spans="1:12" ht="15.75" customHeight="1">
      <c r="A650" s="5"/>
      <c r="B650" s="5"/>
      <c r="C650" s="5"/>
      <c r="D650" s="5"/>
      <c r="E650" s="5"/>
      <c r="F650" s="5"/>
      <c r="G650" s="5"/>
      <c r="H650" s="4"/>
      <c r="J650" s="5"/>
      <c r="K650" s="5"/>
      <c r="L650" s="5"/>
    </row>
    <row r="651" spans="1:12" ht="15.75" customHeight="1">
      <c r="A651" s="5"/>
      <c r="B651" s="5"/>
      <c r="C651" s="5"/>
      <c r="D651" s="5"/>
      <c r="E651" s="5"/>
      <c r="F651" s="5"/>
      <c r="G651" s="5"/>
      <c r="H651" s="4"/>
      <c r="J651" s="5"/>
      <c r="K651" s="5"/>
      <c r="L651" s="5"/>
    </row>
    <row r="652" spans="1:12" ht="15.75" customHeight="1">
      <c r="A652" s="5"/>
      <c r="B652" s="5"/>
      <c r="C652" s="5"/>
      <c r="D652" s="5"/>
      <c r="E652" s="5"/>
      <c r="F652" s="5"/>
      <c r="G652" s="5"/>
      <c r="H652" s="4"/>
      <c r="J652" s="5"/>
      <c r="K652" s="5"/>
      <c r="L652" s="5"/>
    </row>
    <row r="653" spans="1:12" ht="15.75" customHeight="1">
      <c r="A653" s="5"/>
      <c r="B653" s="5"/>
      <c r="C653" s="5"/>
      <c r="D653" s="5"/>
      <c r="E653" s="5"/>
      <c r="F653" s="5"/>
      <c r="G653" s="5"/>
      <c r="H653" s="4"/>
      <c r="J653" s="5"/>
      <c r="K653" s="5"/>
      <c r="L653" s="5"/>
    </row>
    <row r="654" spans="1:12" ht="15.75" customHeight="1">
      <c r="A654" s="5"/>
      <c r="B654" s="5"/>
      <c r="C654" s="5"/>
      <c r="D654" s="5"/>
      <c r="E654" s="5"/>
      <c r="F654" s="5"/>
      <c r="G654" s="5"/>
      <c r="H654" s="4"/>
      <c r="J654" s="5"/>
      <c r="K654" s="5"/>
      <c r="L654" s="5"/>
    </row>
    <row r="655" spans="1:12" ht="15.75" customHeight="1">
      <c r="A655" s="5"/>
      <c r="B655" s="5"/>
      <c r="C655" s="5"/>
      <c r="D655" s="5"/>
      <c r="E655" s="5"/>
      <c r="F655" s="5"/>
      <c r="G655" s="5"/>
      <c r="H655" s="4"/>
      <c r="J655" s="5"/>
      <c r="K655" s="5"/>
      <c r="L655" s="5"/>
    </row>
    <row r="656" spans="1:12" ht="15.75" customHeight="1">
      <c r="A656" s="5"/>
      <c r="B656" s="5"/>
      <c r="C656" s="5"/>
      <c r="D656" s="5"/>
      <c r="E656" s="5"/>
      <c r="F656" s="5"/>
      <c r="G656" s="5"/>
      <c r="H656" s="4"/>
      <c r="J656" s="5"/>
      <c r="K656" s="5"/>
      <c r="L656" s="5"/>
    </row>
    <row r="657" spans="1:12" ht="15.75" customHeight="1">
      <c r="A657" s="5"/>
      <c r="B657" s="5"/>
      <c r="C657" s="5"/>
      <c r="D657" s="5"/>
      <c r="E657" s="5"/>
      <c r="F657" s="5"/>
      <c r="G657" s="5"/>
      <c r="H657" s="4"/>
      <c r="J657" s="5"/>
      <c r="K657" s="5"/>
      <c r="L657" s="5"/>
    </row>
    <row r="658" spans="1:12" ht="15.75" customHeight="1">
      <c r="A658" s="5"/>
      <c r="B658" s="5"/>
      <c r="C658" s="5"/>
      <c r="D658" s="5"/>
      <c r="E658" s="5"/>
      <c r="F658" s="5"/>
      <c r="G658" s="5"/>
      <c r="H658" s="4"/>
      <c r="J658" s="5"/>
      <c r="K658" s="5"/>
      <c r="L658" s="5"/>
    </row>
    <row r="659" spans="1:12" ht="15.75" customHeight="1">
      <c r="A659" s="5"/>
      <c r="B659" s="5"/>
      <c r="C659" s="5"/>
      <c r="D659" s="5"/>
      <c r="E659" s="5"/>
      <c r="F659" s="5"/>
      <c r="G659" s="5"/>
      <c r="H659" s="4"/>
      <c r="J659" s="5"/>
      <c r="K659" s="5"/>
      <c r="L659" s="5"/>
    </row>
    <row r="660" spans="1:12" ht="15.75" customHeight="1">
      <c r="A660" s="5"/>
      <c r="B660" s="5"/>
      <c r="C660" s="5"/>
      <c r="D660" s="5"/>
      <c r="E660" s="5"/>
      <c r="F660" s="5"/>
      <c r="G660" s="5"/>
      <c r="H660" s="4"/>
      <c r="J660" s="5"/>
      <c r="K660" s="5"/>
      <c r="L660" s="5"/>
    </row>
    <row r="661" spans="1:12" ht="15.75" customHeight="1">
      <c r="A661" s="5"/>
      <c r="B661" s="5"/>
      <c r="C661" s="5"/>
      <c r="D661" s="5"/>
      <c r="E661" s="5"/>
      <c r="F661" s="5"/>
      <c r="G661" s="5"/>
      <c r="H661" s="4"/>
      <c r="J661" s="5"/>
      <c r="K661" s="5"/>
      <c r="L661" s="5"/>
    </row>
    <row r="662" spans="1:12" ht="15.75" customHeight="1">
      <c r="A662" s="5"/>
      <c r="B662" s="5"/>
      <c r="C662" s="5"/>
      <c r="D662" s="5"/>
      <c r="E662" s="5"/>
      <c r="F662" s="5"/>
      <c r="G662" s="5"/>
      <c r="H662" s="4"/>
      <c r="J662" s="5"/>
      <c r="K662" s="5"/>
      <c r="L662" s="5"/>
    </row>
    <row r="663" spans="1:12" ht="15.75" customHeight="1">
      <c r="A663" s="5"/>
      <c r="B663" s="5"/>
      <c r="C663" s="5"/>
      <c r="D663" s="5"/>
      <c r="E663" s="5"/>
      <c r="F663" s="5"/>
      <c r="G663" s="5"/>
      <c r="H663" s="4"/>
      <c r="J663" s="5"/>
      <c r="K663" s="5"/>
      <c r="L663" s="5"/>
    </row>
    <row r="664" spans="1:12" ht="15.75" customHeight="1">
      <c r="A664" s="5"/>
      <c r="B664" s="5"/>
      <c r="C664" s="5"/>
      <c r="D664" s="5"/>
      <c r="E664" s="5"/>
      <c r="F664" s="5"/>
      <c r="G664" s="5"/>
      <c r="H664" s="4"/>
      <c r="J664" s="5"/>
      <c r="K664" s="5"/>
      <c r="L664" s="5"/>
    </row>
    <row r="665" spans="1:12" ht="15.75" customHeight="1">
      <c r="A665" s="5"/>
      <c r="B665" s="5"/>
      <c r="C665" s="5"/>
      <c r="D665" s="5"/>
      <c r="E665" s="5"/>
      <c r="F665" s="5"/>
      <c r="G665" s="5"/>
      <c r="H665" s="4"/>
      <c r="J665" s="5"/>
      <c r="K665" s="5"/>
      <c r="L665" s="5"/>
    </row>
    <row r="666" spans="1:12" ht="15.75" customHeight="1">
      <c r="A666" s="5"/>
      <c r="B666" s="5"/>
      <c r="C666" s="5"/>
      <c r="D666" s="5"/>
      <c r="E666" s="5"/>
      <c r="F666" s="5"/>
      <c r="G666" s="5"/>
      <c r="H666" s="4"/>
      <c r="J666" s="5"/>
      <c r="K666" s="5"/>
      <c r="L666" s="5"/>
    </row>
    <row r="667" spans="1:12" ht="15.75" customHeight="1">
      <c r="A667" s="5"/>
      <c r="B667" s="5"/>
      <c r="C667" s="5"/>
      <c r="D667" s="5"/>
      <c r="E667" s="5"/>
      <c r="F667" s="5"/>
      <c r="G667" s="5"/>
      <c r="H667" s="4"/>
      <c r="J667" s="5"/>
      <c r="K667" s="5"/>
      <c r="L667" s="5"/>
    </row>
    <row r="668" spans="1:12" ht="15.75" customHeight="1">
      <c r="A668" s="5"/>
      <c r="B668" s="5"/>
      <c r="C668" s="5"/>
      <c r="D668" s="5"/>
      <c r="E668" s="5"/>
      <c r="F668" s="5"/>
      <c r="G668" s="5"/>
      <c r="H668" s="4"/>
      <c r="J668" s="5"/>
      <c r="K668" s="5"/>
      <c r="L668" s="5"/>
    </row>
    <row r="669" spans="1:12" ht="15.75" customHeight="1">
      <c r="A669" s="5"/>
      <c r="B669" s="5"/>
      <c r="C669" s="5"/>
      <c r="D669" s="5"/>
      <c r="E669" s="5"/>
      <c r="F669" s="5"/>
      <c r="G669" s="5"/>
      <c r="H669" s="4"/>
      <c r="J669" s="5"/>
      <c r="K669" s="5"/>
      <c r="L669" s="5"/>
    </row>
    <row r="670" spans="1:12" ht="15.75" customHeight="1">
      <c r="A670" s="5"/>
      <c r="B670" s="5"/>
      <c r="C670" s="5"/>
      <c r="D670" s="5"/>
      <c r="E670" s="5"/>
      <c r="F670" s="5"/>
      <c r="G670" s="5"/>
      <c r="H670" s="4"/>
      <c r="J670" s="5"/>
      <c r="K670" s="5"/>
      <c r="L670" s="5"/>
    </row>
    <row r="671" spans="1:12" ht="15.75" customHeight="1">
      <c r="A671" s="5"/>
      <c r="B671" s="5"/>
      <c r="C671" s="5"/>
      <c r="D671" s="5"/>
      <c r="E671" s="5"/>
      <c r="F671" s="5"/>
      <c r="G671" s="5"/>
      <c r="H671" s="4"/>
      <c r="J671" s="5"/>
      <c r="K671" s="5"/>
      <c r="L671" s="5"/>
    </row>
    <row r="672" spans="1:12" ht="15.75" customHeight="1">
      <c r="A672" s="5"/>
      <c r="B672" s="5"/>
      <c r="C672" s="5"/>
      <c r="D672" s="5"/>
      <c r="E672" s="5"/>
      <c r="F672" s="5"/>
      <c r="G672" s="5"/>
      <c r="H672" s="4"/>
      <c r="J672" s="5"/>
      <c r="K672" s="5"/>
      <c r="L672" s="5"/>
    </row>
    <row r="673" spans="1:12" ht="15.75" customHeight="1">
      <c r="A673" s="5"/>
      <c r="B673" s="5"/>
      <c r="C673" s="5"/>
      <c r="D673" s="5"/>
      <c r="E673" s="5"/>
      <c r="F673" s="5"/>
      <c r="G673" s="5"/>
      <c r="H673" s="4"/>
      <c r="J673" s="5"/>
      <c r="K673" s="5"/>
      <c r="L673" s="5"/>
    </row>
    <row r="674" spans="1:12" ht="15.75" customHeight="1">
      <c r="A674" s="5"/>
      <c r="B674" s="5"/>
      <c r="C674" s="5"/>
      <c r="D674" s="5"/>
      <c r="E674" s="5"/>
      <c r="F674" s="5"/>
      <c r="G674" s="5"/>
      <c r="H674" s="4"/>
      <c r="J674" s="5"/>
      <c r="K674" s="5"/>
      <c r="L674" s="5"/>
    </row>
    <row r="675" spans="1:12" ht="15.75" customHeight="1">
      <c r="A675" s="5"/>
      <c r="B675" s="5"/>
      <c r="C675" s="5"/>
      <c r="D675" s="5"/>
      <c r="E675" s="5"/>
    </row>
    <row r="676" spans="1:12" ht="15.75" customHeight="1">
      <c r="A676" s="5"/>
      <c r="B676" s="5"/>
      <c r="C676" s="5"/>
      <c r="D676" s="5"/>
      <c r="E676" s="5"/>
    </row>
    <row r="677" spans="1:12" ht="15.75" customHeight="1">
      <c r="A677" s="5"/>
      <c r="B677" s="5"/>
      <c r="C677" s="5"/>
      <c r="D677" s="5"/>
      <c r="E677" s="5"/>
    </row>
    <row r="678" spans="1:12" ht="15.75" customHeight="1">
      <c r="A678" s="5"/>
      <c r="B678" s="5"/>
      <c r="C678" s="5"/>
      <c r="D678" s="5"/>
      <c r="E678" s="5"/>
    </row>
    <row r="679" spans="1:12" ht="15.75" customHeight="1">
      <c r="A679" s="5"/>
      <c r="B679" s="5"/>
      <c r="C679" s="5"/>
      <c r="D679" s="5"/>
      <c r="E679" s="5"/>
    </row>
    <row r="680" spans="1:12" ht="15.75" customHeight="1">
      <c r="A680" s="5"/>
      <c r="B680" s="5"/>
      <c r="C680" s="5"/>
      <c r="D680" s="5"/>
      <c r="E680" s="5"/>
    </row>
    <row r="681" spans="1:12" ht="15.75" customHeight="1">
      <c r="A681" s="5"/>
      <c r="B681" s="5"/>
      <c r="C681" s="5"/>
      <c r="D681" s="5"/>
      <c r="E681" s="5"/>
    </row>
    <row r="682" spans="1:12" ht="15.75" customHeight="1">
      <c r="A682" s="5"/>
      <c r="B682" s="5"/>
      <c r="C682" s="5"/>
      <c r="D682" s="5"/>
      <c r="E682" s="5"/>
    </row>
    <row r="683" spans="1:12" ht="15.75" customHeight="1">
      <c r="A683" s="5"/>
      <c r="B683" s="5"/>
      <c r="C683" s="5"/>
      <c r="D683" s="5"/>
      <c r="E683" s="5"/>
    </row>
    <row r="684" spans="1:12" ht="15.75" customHeight="1">
      <c r="A684" s="5"/>
      <c r="B684" s="5"/>
      <c r="C684" s="5"/>
      <c r="D684" s="5"/>
      <c r="E684" s="5"/>
    </row>
    <row r="685" spans="1:12" ht="15.75" customHeight="1">
      <c r="A685" s="5"/>
      <c r="B685" s="5"/>
      <c r="C685" s="5"/>
      <c r="D685" s="5"/>
      <c r="E685" s="5"/>
    </row>
    <row r="686" spans="1:12" ht="15.75" customHeight="1">
      <c r="A686" s="5"/>
      <c r="B686" s="5"/>
      <c r="C686" s="5"/>
      <c r="D686" s="5"/>
      <c r="E686" s="5"/>
    </row>
    <row r="687" spans="1:12" ht="15.75" customHeight="1">
      <c r="A687" s="5"/>
      <c r="B687" s="5"/>
      <c r="C687" s="5"/>
      <c r="D687" s="5"/>
      <c r="E687" s="5"/>
    </row>
    <row r="688" spans="1:12" ht="15.75" customHeight="1">
      <c r="A688" s="5"/>
      <c r="B688" s="5"/>
      <c r="C688" s="5"/>
      <c r="D688" s="5"/>
      <c r="E688" s="5"/>
    </row>
    <row r="689" spans="1:5" ht="15.75" customHeight="1">
      <c r="A689" s="5"/>
      <c r="B689" s="5"/>
      <c r="C689" s="5"/>
      <c r="D689" s="5"/>
      <c r="E689" s="5"/>
    </row>
    <row r="690" spans="1:5" ht="15.75" customHeight="1">
      <c r="A690" s="5"/>
      <c r="B690" s="5"/>
      <c r="C690" s="5"/>
      <c r="D690" s="5"/>
      <c r="E690" s="5"/>
    </row>
    <row r="691" spans="1:5" ht="15.75" customHeight="1">
      <c r="A691" s="5"/>
      <c r="B691" s="5"/>
      <c r="C691" s="5"/>
      <c r="D691" s="5"/>
      <c r="E691" s="5"/>
    </row>
    <row r="692" spans="1:5" ht="15.75" customHeight="1">
      <c r="A692" s="5"/>
      <c r="B692" s="5"/>
      <c r="C692" s="5"/>
      <c r="D692" s="5"/>
      <c r="E692" s="5"/>
    </row>
    <row r="693" spans="1:5" ht="15.75" customHeight="1">
      <c r="A693" s="5"/>
      <c r="B693" s="5"/>
      <c r="C693" s="5"/>
      <c r="D693" s="5"/>
      <c r="E693" s="5"/>
    </row>
    <row r="694" spans="1:5" ht="15.75" customHeight="1">
      <c r="A694" s="5"/>
      <c r="B694" s="5"/>
      <c r="C694" s="5"/>
      <c r="D694" s="5"/>
      <c r="E694" s="5"/>
    </row>
    <row r="695" spans="1:5" ht="15.75" customHeight="1">
      <c r="A695" s="5"/>
      <c r="B695" s="5"/>
      <c r="C695" s="5"/>
      <c r="D695" s="5"/>
      <c r="E695" s="5"/>
    </row>
    <row r="696" spans="1:5" ht="15.75" customHeight="1">
      <c r="A696" s="5"/>
      <c r="B696" s="5"/>
      <c r="C696" s="5"/>
      <c r="D696" s="5"/>
      <c r="E696" s="5"/>
    </row>
    <row r="697" spans="1:5" ht="15.75" customHeight="1">
      <c r="A697" s="5"/>
      <c r="B697" s="5"/>
      <c r="C697" s="5"/>
      <c r="D697" s="5"/>
      <c r="E697" s="5"/>
    </row>
    <row r="698" spans="1:5" ht="15.75" customHeight="1">
      <c r="A698" s="5"/>
      <c r="B698" s="5"/>
      <c r="C698" s="5"/>
      <c r="D698" s="5"/>
      <c r="E698" s="5"/>
    </row>
    <row r="699" spans="1:5" ht="15.75" customHeight="1">
      <c r="A699" s="5"/>
      <c r="B699" s="5"/>
      <c r="C699" s="5"/>
      <c r="D699" s="5"/>
      <c r="E699" s="5"/>
    </row>
    <row r="700" spans="1:5" ht="15.75" customHeight="1">
      <c r="A700" s="5"/>
      <c r="B700" s="5"/>
      <c r="C700" s="5"/>
      <c r="D700" s="5"/>
      <c r="E700" s="5"/>
    </row>
    <row r="701" spans="1:5" ht="15.75" customHeight="1">
      <c r="A701" s="5"/>
      <c r="B701" s="5"/>
      <c r="C701" s="5"/>
      <c r="D701" s="5"/>
      <c r="E701" s="5"/>
    </row>
    <row r="702" spans="1:5" ht="15.75" customHeight="1">
      <c r="A702" s="5"/>
      <c r="B702" s="5"/>
      <c r="C702" s="5"/>
      <c r="D702" s="5"/>
      <c r="E702" s="5"/>
    </row>
    <row r="703" spans="1:5" ht="15.75" customHeight="1">
      <c r="A703" s="5"/>
      <c r="B703" s="5"/>
      <c r="C703" s="5"/>
      <c r="D703" s="5"/>
      <c r="E703" s="5"/>
    </row>
    <row r="704" spans="1:5" ht="15.75" customHeight="1">
      <c r="A704" s="5"/>
      <c r="B704" s="5"/>
      <c r="C704" s="5"/>
      <c r="D704" s="5"/>
      <c r="E704" s="5"/>
    </row>
    <row r="705" spans="1:5" ht="15.75" customHeight="1">
      <c r="A705" s="5"/>
      <c r="B705" s="5"/>
      <c r="C705" s="5"/>
      <c r="D705" s="5"/>
      <c r="E705" s="5"/>
    </row>
    <row r="706" spans="1:5" ht="15.75" customHeight="1">
      <c r="A706" s="5"/>
      <c r="B706" s="5"/>
      <c r="C706" s="5"/>
      <c r="D706" s="5"/>
      <c r="E706" s="5"/>
    </row>
    <row r="707" spans="1:5" ht="15.75" customHeight="1">
      <c r="A707" s="5"/>
      <c r="B707" s="5"/>
      <c r="C707" s="5"/>
      <c r="D707" s="5"/>
      <c r="E707" s="5"/>
    </row>
    <row r="708" spans="1:5" ht="15.75" customHeight="1">
      <c r="A708" s="5"/>
      <c r="B708" s="5"/>
      <c r="C708" s="5"/>
      <c r="D708" s="5"/>
      <c r="E708" s="5"/>
    </row>
    <row r="709" spans="1:5" ht="15.75" customHeight="1">
      <c r="A709" s="5"/>
      <c r="B709" s="5"/>
      <c r="C709" s="5"/>
      <c r="D709" s="5"/>
      <c r="E709" s="5"/>
    </row>
    <row r="710" spans="1:5" ht="15.75" customHeight="1">
      <c r="A710" s="5"/>
      <c r="B710" s="5"/>
      <c r="C710" s="5"/>
      <c r="D710" s="5"/>
      <c r="E710" s="5"/>
    </row>
    <row r="711" spans="1:5" ht="15.75" customHeight="1">
      <c r="A711" s="5"/>
      <c r="B711" s="5"/>
      <c r="C711" s="5"/>
      <c r="D711" s="5"/>
      <c r="E711" s="5"/>
    </row>
    <row r="712" spans="1:5" ht="15.75" customHeight="1">
      <c r="A712" s="5"/>
      <c r="B712" s="5"/>
      <c r="C712" s="5"/>
      <c r="D712" s="5"/>
      <c r="E712" s="5"/>
    </row>
    <row r="713" spans="1:5" ht="15.75" customHeight="1">
      <c r="A713" s="5"/>
      <c r="B713" s="5"/>
      <c r="C713" s="5"/>
      <c r="D713" s="5"/>
      <c r="E713" s="5"/>
    </row>
    <row r="714" spans="1:5" ht="15.75" customHeight="1">
      <c r="A714" s="5"/>
      <c r="B714" s="5"/>
      <c r="C714" s="5"/>
      <c r="D714" s="5"/>
      <c r="E714" s="5"/>
    </row>
    <row r="715" spans="1:5" ht="15.75" customHeight="1">
      <c r="A715" s="5"/>
      <c r="B715" s="5"/>
      <c r="C715" s="5"/>
      <c r="D715" s="5"/>
      <c r="E715" s="5"/>
    </row>
    <row r="716" spans="1:5" ht="15.75" customHeight="1">
      <c r="A716" s="5"/>
      <c r="B716" s="5"/>
      <c r="C716" s="5"/>
      <c r="D716" s="5"/>
      <c r="E716" s="5"/>
    </row>
    <row r="717" spans="1:5" ht="15.75" customHeight="1">
      <c r="A717" s="5"/>
      <c r="B717" s="5"/>
      <c r="C717" s="5"/>
      <c r="D717" s="5"/>
      <c r="E717" s="5"/>
    </row>
    <row r="718" spans="1:5" ht="15.75" customHeight="1">
      <c r="A718" s="5"/>
      <c r="B718" s="5"/>
      <c r="C718" s="5"/>
      <c r="D718" s="5"/>
      <c r="E718" s="5"/>
    </row>
    <row r="719" spans="1:5" ht="15.75" customHeight="1">
      <c r="A719" s="5"/>
      <c r="B719" s="5"/>
      <c r="C719" s="5"/>
      <c r="D719" s="5"/>
      <c r="E719" s="5"/>
    </row>
    <row r="720" spans="1:5" ht="15.75" customHeight="1">
      <c r="A720" s="5"/>
      <c r="B720" s="5"/>
      <c r="C720" s="5"/>
      <c r="D720" s="5"/>
      <c r="E720" s="5"/>
    </row>
    <row r="721" spans="1:5" ht="15.75" customHeight="1">
      <c r="A721" s="5"/>
      <c r="B721" s="5"/>
      <c r="C721" s="5"/>
      <c r="D721" s="5"/>
      <c r="E721" s="5"/>
    </row>
    <row r="722" spans="1:5" ht="15.75" customHeight="1">
      <c r="A722" s="5"/>
      <c r="B722" s="5"/>
      <c r="C722" s="5"/>
      <c r="D722" s="5"/>
      <c r="E722" s="5"/>
    </row>
    <row r="723" spans="1:5" ht="15.75" customHeight="1">
      <c r="A723" s="5"/>
      <c r="B723" s="5"/>
      <c r="C723" s="5"/>
      <c r="D723" s="5"/>
      <c r="E723" s="5"/>
    </row>
    <row r="724" spans="1:5" ht="15.75" customHeight="1">
      <c r="A724" s="5"/>
      <c r="B724" s="5"/>
      <c r="C724" s="5"/>
      <c r="D724" s="5"/>
      <c r="E724" s="5"/>
    </row>
    <row r="725" spans="1:5" ht="15.75" customHeight="1">
      <c r="A725" s="5"/>
      <c r="B725" s="5"/>
      <c r="C725" s="5"/>
      <c r="D725" s="5"/>
      <c r="E725" s="5"/>
    </row>
    <row r="726" spans="1:5" ht="15.75" customHeight="1">
      <c r="A726" s="5"/>
      <c r="B726" s="5"/>
      <c r="C726" s="5"/>
      <c r="D726" s="5"/>
      <c r="E726" s="5"/>
    </row>
    <row r="727" spans="1:5" ht="15.75" customHeight="1">
      <c r="A727" s="5"/>
      <c r="B727" s="5"/>
      <c r="C727" s="5"/>
      <c r="D727" s="5"/>
      <c r="E727" s="5"/>
    </row>
    <row r="728" spans="1:5" ht="15.75" customHeight="1">
      <c r="A728" s="5"/>
      <c r="B728" s="5"/>
      <c r="C728" s="5"/>
      <c r="D728" s="5"/>
      <c r="E728" s="5"/>
    </row>
    <row r="729" spans="1:5" ht="15.75" customHeight="1">
      <c r="A729" s="5"/>
      <c r="B729" s="5"/>
      <c r="C729" s="5"/>
      <c r="D729" s="5"/>
      <c r="E729" s="5"/>
    </row>
    <row r="730" spans="1:5" ht="15.75" customHeight="1">
      <c r="A730" s="5"/>
      <c r="B730" s="5"/>
      <c r="C730" s="5"/>
      <c r="D730" s="5"/>
      <c r="E730" s="5"/>
    </row>
    <row r="731" spans="1:5" ht="15.75" customHeight="1">
      <c r="A731" s="5"/>
      <c r="B731" s="5"/>
      <c r="C731" s="5"/>
      <c r="D731" s="5"/>
      <c r="E731" s="5"/>
    </row>
    <row r="732" spans="1:5" ht="15.75" customHeight="1">
      <c r="A732" s="5"/>
      <c r="B732" s="5"/>
      <c r="C732" s="5"/>
      <c r="D732" s="5"/>
      <c r="E732" s="5"/>
    </row>
    <row r="733" spans="1:5" ht="15.75" customHeight="1">
      <c r="A733" s="5"/>
      <c r="B733" s="5"/>
      <c r="C733" s="5"/>
      <c r="D733" s="5"/>
      <c r="E733" s="5"/>
    </row>
    <row r="734" spans="1:5" ht="15.75" customHeight="1">
      <c r="A734" s="5"/>
      <c r="B734" s="5"/>
      <c r="C734" s="5"/>
      <c r="D734" s="5"/>
      <c r="E734" s="5"/>
    </row>
    <row r="735" spans="1:5" ht="15.75" customHeight="1">
      <c r="A735" s="5"/>
      <c r="B735" s="5"/>
      <c r="C735" s="5"/>
      <c r="D735" s="5"/>
      <c r="E735" s="5"/>
    </row>
    <row r="736" spans="1:5" ht="15.75" customHeight="1">
      <c r="A736" s="5"/>
      <c r="B736" s="5"/>
      <c r="C736" s="5"/>
      <c r="D736" s="5"/>
      <c r="E736" s="5"/>
    </row>
    <row r="737" spans="1:5" ht="15.75" customHeight="1">
      <c r="A737" s="5"/>
      <c r="B737" s="5"/>
      <c r="C737" s="5"/>
      <c r="D737" s="5"/>
      <c r="E737" s="5"/>
    </row>
    <row r="738" spans="1:5" ht="15.75" customHeight="1">
      <c r="A738" s="5"/>
      <c r="B738" s="5"/>
      <c r="C738" s="5"/>
      <c r="D738" s="5"/>
      <c r="E738" s="5"/>
    </row>
    <row r="739" spans="1:5" ht="15.75" customHeight="1">
      <c r="A739" s="5"/>
      <c r="B739" s="5"/>
      <c r="C739" s="5"/>
      <c r="D739" s="5"/>
      <c r="E739" s="5"/>
    </row>
    <row r="740" spans="1:5" ht="15.75" customHeight="1">
      <c r="A740" s="5"/>
      <c r="B740" s="5"/>
      <c r="C740" s="5"/>
      <c r="D740" s="5"/>
      <c r="E740" s="5"/>
    </row>
    <row r="741" spans="1:5" ht="15.75" customHeight="1">
      <c r="A741" s="5"/>
      <c r="B741" s="5"/>
      <c r="C741" s="5"/>
      <c r="D741" s="5"/>
      <c r="E741" s="5"/>
    </row>
    <row r="742" spans="1:5" ht="15.75" customHeight="1">
      <c r="A742" s="5"/>
      <c r="B742" s="5"/>
      <c r="C742" s="5"/>
      <c r="D742" s="5"/>
      <c r="E742" s="5"/>
    </row>
    <row r="743" spans="1:5" ht="15.75" customHeight="1">
      <c r="A743" s="5"/>
      <c r="B743" s="5"/>
      <c r="C743" s="5"/>
      <c r="D743" s="5"/>
      <c r="E743" s="5"/>
    </row>
    <row r="744" spans="1:5" ht="15.75" customHeight="1">
      <c r="A744" s="5"/>
      <c r="B744" s="5"/>
      <c r="C744" s="5"/>
      <c r="D744" s="5"/>
      <c r="E744" s="5"/>
    </row>
    <row r="745" spans="1:5" ht="15.75" customHeight="1">
      <c r="A745" s="5"/>
      <c r="B745" s="5"/>
      <c r="C745" s="5"/>
      <c r="D745" s="5"/>
      <c r="E745" s="5"/>
    </row>
    <row r="746" spans="1:5" ht="15.75" customHeight="1">
      <c r="A746" s="5"/>
      <c r="B746" s="5"/>
      <c r="C746" s="5"/>
      <c r="D746" s="5"/>
      <c r="E746" s="5"/>
    </row>
    <row r="747" spans="1:5" ht="15.75" customHeight="1">
      <c r="A747" s="5"/>
      <c r="B747" s="5"/>
      <c r="C747" s="5"/>
      <c r="D747" s="5"/>
      <c r="E747" s="5"/>
    </row>
    <row r="748" spans="1:5" ht="15.75" customHeight="1">
      <c r="A748" s="5"/>
      <c r="B748" s="5"/>
      <c r="C748" s="5"/>
      <c r="D748" s="5"/>
      <c r="E748" s="5"/>
    </row>
    <row r="749" spans="1:5" ht="15.75" customHeight="1">
      <c r="A749" s="5"/>
      <c r="B749" s="5"/>
      <c r="C749" s="5"/>
      <c r="D749" s="5"/>
      <c r="E749" s="5"/>
    </row>
    <row r="750" spans="1:5" ht="15.75" customHeight="1">
      <c r="A750" s="5"/>
      <c r="B750" s="5"/>
      <c r="C750" s="5"/>
      <c r="D750" s="5"/>
      <c r="E750" s="5"/>
    </row>
    <row r="751" spans="1:5" ht="15.75" customHeight="1">
      <c r="A751" s="5"/>
      <c r="B751" s="5"/>
      <c r="C751" s="5"/>
      <c r="D751" s="5"/>
      <c r="E751" s="5"/>
    </row>
    <row r="752" spans="1:5" ht="15.75" customHeight="1">
      <c r="A752" s="5"/>
      <c r="B752" s="5"/>
      <c r="C752" s="5"/>
      <c r="D752" s="5"/>
      <c r="E752" s="5"/>
    </row>
    <row r="753" spans="1:5" ht="15.75" customHeight="1">
      <c r="A753" s="5"/>
      <c r="B753" s="5"/>
      <c r="C753" s="5"/>
      <c r="D753" s="5"/>
      <c r="E753" s="5"/>
    </row>
    <row r="754" spans="1:5" ht="15.75" customHeight="1">
      <c r="A754" s="5"/>
      <c r="B754" s="5"/>
      <c r="C754" s="5"/>
      <c r="D754" s="5"/>
      <c r="E754" s="5"/>
    </row>
    <row r="755" spans="1:5" ht="15.75" customHeight="1">
      <c r="A755" s="5"/>
      <c r="B755" s="5"/>
      <c r="C755" s="5"/>
      <c r="D755" s="5"/>
      <c r="E755" s="5"/>
    </row>
    <row r="756" spans="1:5" ht="15.75" customHeight="1">
      <c r="A756" s="5"/>
      <c r="B756" s="5"/>
      <c r="C756" s="5"/>
      <c r="D756" s="5"/>
      <c r="E756" s="5"/>
    </row>
    <row r="757" spans="1:5" ht="15.75" customHeight="1">
      <c r="A757" s="5"/>
      <c r="B757" s="5"/>
      <c r="C757" s="5"/>
      <c r="D757" s="5"/>
      <c r="E757" s="5"/>
    </row>
    <row r="758" spans="1:5" ht="15.75" customHeight="1">
      <c r="A758" s="5"/>
      <c r="B758" s="5"/>
      <c r="C758" s="5"/>
      <c r="D758" s="5"/>
      <c r="E758" s="5"/>
    </row>
    <row r="759" spans="1:5" ht="15.75" customHeight="1">
      <c r="A759" s="5"/>
      <c r="B759" s="5"/>
      <c r="C759" s="5"/>
      <c r="D759" s="5"/>
      <c r="E759" s="5"/>
    </row>
    <row r="760" spans="1:5" ht="15.75" customHeight="1">
      <c r="A760" s="5"/>
      <c r="B760" s="5"/>
      <c r="C760" s="5"/>
      <c r="D760" s="5"/>
      <c r="E760" s="5"/>
    </row>
    <row r="761" spans="1:5" ht="15.75" customHeight="1">
      <c r="A761" s="5"/>
      <c r="B761" s="5"/>
      <c r="C761" s="5"/>
      <c r="D761" s="5"/>
      <c r="E761" s="5"/>
    </row>
    <row r="762" spans="1:5" ht="15.75" customHeight="1">
      <c r="A762" s="5"/>
      <c r="B762" s="5"/>
      <c r="C762" s="5"/>
      <c r="D762" s="5"/>
      <c r="E762" s="5"/>
    </row>
    <row r="763" spans="1:5" ht="15.75" customHeight="1">
      <c r="A763" s="5"/>
      <c r="B763" s="5"/>
      <c r="C763" s="5"/>
      <c r="D763" s="5"/>
      <c r="E763" s="5"/>
    </row>
    <row r="764" spans="1:5" ht="15.75" customHeight="1">
      <c r="A764" s="5"/>
      <c r="B764" s="5"/>
      <c r="C764" s="5"/>
      <c r="D764" s="5"/>
      <c r="E764" s="5"/>
    </row>
    <row r="765" spans="1:5" ht="15.75" customHeight="1">
      <c r="A765" s="5"/>
      <c r="B765" s="5"/>
      <c r="C765" s="5"/>
      <c r="D765" s="5"/>
      <c r="E765" s="5"/>
    </row>
    <row r="766" spans="1:5" ht="15.75" customHeight="1">
      <c r="A766" s="5"/>
      <c r="B766" s="5"/>
      <c r="C766" s="5"/>
      <c r="D766" s="5"/>
      <c r="E766" s="5"/>
    </row>
    <row r="767" spans="1:5" ht="15.75" customHeight="1">
      <c r="A767" s="5"/>
      <c r="B767" s="5"/>
      <c r="C767" s="5"/>
      <c r="D767" s="5"/>
      <c r="E767" s="5"/>
    </row>
    <row r="768" spans="1:5" ht="15.75" customHeight="1">
      <c r="A768" s="5"/>
      <c r="B768" s="5"/>
      <c r="C768" s="5"/>
      <c r="D768" s="5"/>
      <c r="E768" s="5"/>
    </row>
    <row r="769" spans="1:5" ht="15.75" customHeight="1">
      <c r="A769" s="5"/>
      <c r="B769" s="5"/>
      <c r="C769" s="5"/>
      <c r="D769" s="5"/>
      <c r="E769" s="5"/>
    </row>
    <row r="770" spans="1:5" ht="15.75" customHeight="1">
      <c r="A770" s="5"/>
      <c r="B770" s="5"/>
      <c r="C770" s="5"/>
      <c r="D770" s="5"/>
      <c r="E770" s="5"/>
    </row>
    <row r="771" spans="1:5" ht="15.75" customHeight="1">
      <c r="A771" s="5"/>
      <c r="B771" s="5"/>
      <c r="C771" s="5"/>
      <c r="D771" s="5"/>
      <c r="E771" s="5"/>
    </row>
    <row r="772" spans="1:5" ht="15.75" customHeight="1">
      <c r="A772" s="5"/>
      <c r="B772" s="5"/>
      <c r="C772" s="5"/>
      <c r="D772" s="5"/>
      <c r="E772" s="5"/>
    </row>
    <row r="773" spans="1:5" ht="15.75" customHeight="1">
      <c r="A773" s="5"/>
      <c r="B773" s="5"/>
      <c r="C773" s="5"/>
      <c r="D773" s="5"/>
      <c r="E773" s="5"/>
    </row>
    <row r="774" spans="1:5" ht="15.75" customHeight="1">
      <c r="A774" s="5"/>
      <c r="B774" s="5"/>
      <c r="C774" s="5"/>
      <c r="D774" s="5"/>
      <c r="E774" s="5"/>
    </row>
    <row r="775" spans="1:5" ht="15.75" customHeight="1">
      <c r="A775" s="5"/>
      <c r="B775" s="5"/>
      <c r="C775" s="5"/>
      <c r="D775" s="5"/>
      <c r="E775" s="5"/>
    </row>
    <row r="776" spans="1:5" ht="15.75" customHeight="1">
      <c r="A776" s="5"/>
      <c r="B776" s="5"/>
      <c r="C776" s="5"/>
      <c r="D776" s="5"/>
      <c r="E776" s="5"/>
    </row>
    <row r="777" spans="1:5" ht="15.75" customHeight="1">
      <c r="A777" s="5"/>
      <c r="B777" s="5"/>
      <c r="C777" s="5"/>
      <c r="D777" s="5"/>
      <c r="E777" s="5"/>
    </row>
    <row r="778" spans="1:5" ht="15.75" customHeight="1">
      <c r="A778" s="5"/>
      <c r="B778" s="5"/>
      <c r="C778" s="5"/>
      <c r="D778" s="5"/>
      <c r="E778" s="5"/>
    </row>
    <row r="779" spans="1:5" ht="15.75" customHeight="1">
      <c r="A779" s="5"/>
      <c r="B779" s="5"/>
      <c r="C779" s="5"/>
      <c r="D779" s="5"/>
      <c r="E779" s="5"/>
    </row>
    <row r="780" spans="1:5" ht="15.75" customHeight="1">
      <c r="A780" s="5"/>
      <c r="B780" s="5"/>
      <c r="C780" s="5"/>
      <c r="D780" s="5"/>
      <c r="E780" s="5"/>
    </row>
    <row r="781" spans="1:5" ht="15.75" customHeight="1">
      <c r="A781" s="5"/>
      <c r="B781" s="5"/>
      <c r="C781" s="5"/>
      <c r="D781" s="5"/>
      <c r="E781" s="5"/>
    </row>
    <row r="782" spans="1:5" ht="15.75" customHeight="1">
      <c r="A782" s="5"/>
      <c r="B782" s="5"/>
      <c r="C782" s="5"/>
      <c r="D782" s="5"/>
      <c r="E782" s="5"/>
    </row>
    <row r="783" spans="1:5" ht="15.75" customHeight="1">
      <c r="A783" s="5"/>
      <c r="B783" s="5"/>
      <c r="C783" s="5"/>
      <c r="D783" s="5"/>
      <c r="E783" s="5"/>
    </row>
    <row r="784" spans="1:5" ht="15.75" customHeight="1">
      <c r="A784" s="5"/>
      <c r="B784" s="5"/>
      <c r="C784" s="5"/>
      <c r="D784" s="5"/>
      <c r="E784" s="5"/>
    </row>
    <row r="785" spans="1:5" ht="15.75" customHeight="1">
      <c r="A785" s="5"/>
      <c r="B785" s="5"/>
      <c r="C785" s="5"/>
      <c r="D785" s="5"/>
      <c r="E785" s="5"/>
    </row>
    <row r="786" spans="1:5" ht="15.75" customHeight="1">
      <c r="A786" s="5"/>
      <c r="B786" s="5"/>
      <c r="C786" s="5"/>
      <c r="D786" s="5"/>
      <c r="E786" s="5"/>
    </row>
    <row r="787" spans="1:5" ht="15.75" customHeight="1">
      <c r="A787" s="5"/>
      <c r="B787" s="5"/>
      <c r="C787" s="5"/>
      <c r="D787" s="5"/>
      <c r="E787" s="5"/>
    </row>
    <row r="788" spans="1:5" ht="15.75" customHeight="1">
      <c r="A788" s="5"/>
      <c r="B788" s="5"/>
      <c r="C788" s="5"/>
      <c r="D788" s="5"/>
      <c r="E788" s="5"/>
    </row>
    <row r="789" spans="1:5" ht="15.75" customHeight="1">
      <c r="A789" s="5"/>
      <c r="B789" s="5"/>
      <c r="C789" s="5"/>
      <c r="D789" s="5"/>
      <c r="E789" s="5"/>
    </row>
    <row r="790" spans="1:5" ht="15.75" customHeight="1">
      <c r="A790" s="5"/>
      <c r="B790" s="5"/>
      <c r="C790" s="5"/>
      <c r="D790" s="5"/>
      <c r="E790" s="5"/>
    </row>
    <row r="791" spans="1:5" ht="15.75" customHeight="1">
      <c r="A791" s="5"/>
      <c r="B791" s="5"/>
      <c r="C791" s="5"/>
      <c r="D791" s="5"/>
      <c r="E791" s="5"/>
    </row>
    <row r="792" spans="1:5" ht="15.75" customHeight="1">
      <c r="A792" s="5"/>
      <c r="B792" s="5"/>
      <c r="C792" s="5"/>
      <c r="D792" s="5"/>
      <c r="E792" s="5"/>
    </row>
    <row r="793" spans="1:5" ht="15.75" customHeight="1">
      <c r="A793" s="5"/>
      <c r="B793" s="5"/>
      <c r="C793" s="5"/>
      <c r="D793" s="5"/>
      <c r="E793" s="5"/>
    </row>
    <row r="794" spans="1:5" ht="15.75" customHeight="1">
      <c r="A794" s="5"/>
      <c r="B794" s="5"/>
      <c r="C794" s="5"/>
      <c r="D794" s="5"/>
      <c r="E794" s="5"/>
    </row>
    <row r="795" spans="1:5" ht="15.75" customHeight="1">
      <c r="A795" s="5"/>
      <c r="B795" s="5"/>
      <c r="C795" s="5"/>
      <c r="D795" s="5"/>
      <c r="E795" s="5"/>
    </row>
    <row r="796" spans="1:5" ht="15.75" customHeight="1">
      <c r="A796" s="5"/>
      <c r="B796" s="5"/>
      <c r="C796" s="5"/>
      <c r="D796" s="5"/>
      <c r="E796" s="5"/>
    </row>
    <row r="797" spans="1:5" ht="15.75" customHeight="1">
      <c r="A797" s="5"/>
      <c r="B797" s="5"/>
      <c r="C797" s="5"/>
      <c r="D797" s="5"/>
      <c r="E797" s="5"/>
    </row>
    <row r="798" spans="1:5" ht="15.75" customHeight="1">
      <c r="A798" s="5"/>
      <c r="B798" s="5"/>
      <c r="C798" s="5"/>
      <c r="D798" s="5"/>
      <c r="E798" s="5"/>
    </row>
    <row r="799" spans="1:5" ht="15.75" customHeight="1">
      <c r="A799" s="5"/>
      <c r="B799" s="5"/>
      <c r="C799" s="5"/>
      <c r="D799" s="5"/>
      <c r="E799" s="5"/>
    </row>
    <row r="800" spans="1:5" ht="15.75" customHeight="1">
      <c r="A800" s="5"/>
      <c r="B800" s="5"/>
      <c r="C800" s="5"/>
      <c r="D800" s="5"/>
      <c r="E800" s="5"/>
    </row>
    <row r="801" spans="1:5" ht="15.75" customHeight="1">
      <c r="A801" s="5"/>
      <c r="B801" s="5"/>
      <c r="C801" s="5"/>
      <c r="D801" s="5"/>
      <c r="E801" s="5"/>
    </row>
    <row r="802" spans="1:5" ht="15.75" customHeight="1">
      <c r="A802" s="5"/>
      <c r="B802" s="5"/>
      <c r="C802" s="5"/>
      <c r="D802" s="5"/>
      <c r="E802" s="5"/>
    </row>
    <row r="803" spans="1:5" ht="15.75" customHeight="1">
      <c r="A803" s="5"/>
      <c r="B803" s="5"/>
      <c r="C803" s="5"/>
      <c r="D803" s="5"/>
      <c r="E803" s="5"/>
    </row>
    <row r="804" spans="1:5" ht="15.75" customHeight="1">
      <c r="A804" s="5"/>
      <c r="B804" s="5"/>
      <c r="C804" s="5"/>
      <c r="D804" s="5"/>
      <c r="E804" s="5"/>
    </row>
    <row r="805" spans="1:5" ht="15.75" customHeight="1">
      <c r="A805" s="5"/>
      <c r="B805" s="5"/>
      <c r="C805" s="5"/>
      <c r="D805" s="5"/>
      <c r="E805" s="5"/>
    </row>
    <row r="806" spans="1:5" ht="15.75" customHeight="1">
      <c r="A806" s="5"/>
      <c r="B806" s="5"/>
      <c r="C806" s="5"/>
      <c r="D806" s="5"/>
      <c r="E806" s="5"/>
    </row>
    <row r="807" spans="1:5" ht="15.75" customHeight="1">
      <c r="A807" s="5"/>
      <c r="B807" s="5"/>
      <c r="C807" s="5"/>
      <c r="D807" s="5"/>
      <c r="E807" s="5"/>
    </row>
    <row r="808" spans="1:5" ht="15.75" customHeight="1">
      <c r="A808" s="5"/>
      <c r="B808" s="5"/>
      <c r="C808" s="5"/>
      <c r="D808" s="5"/>
      <c r="E808" s="5"/>
    </row>
    <row r="809" spans="1:5" ht="15.75" customHeight="1">
      <c r="A809" s="5"/>
      <c r="B809" s="5"/>
      <c r="C809" s="5"/>
      <c r="D809" s="5"/>
      <c r="E809" s="5"/>
    </row>
    <row r="810" spans="1:5" ht="15.75" customHeight="1">
      <c r="A810" s="5"/>
      <c r="B810" s="5"/>
      <c r="C810" s="5"/>
      <c r="D810" s="5"/>
      <c r="E810" s="5"/>
    </row>
    <row r="811" spans="1:5" ht="15.75" customHeight="1">
      <c r="A811" s="5"/>
      <c r="B811" s="5"/>
      <c r="C811" s="5"/>
      <c r="D811" s="5"/>
      <c r="E811" s="5"/>
    </row>
    <row r="812" spans="1:5" ht="15.75" customHeight="1">
      <c r="A812" s="5"/>
      <c r="B812" s="5"/>
      <c r="C812" s="5"/>
      <c r="D812" s="5"/>
      <c r="E812" s="5"/>
    </row>
    <row r="813" spans="1:5" ht="15.75" customHeight="1">
      <c r="A813" s="5"/>
      <c r="B813" s="5"/>
      <c r="C813" s="5"/>
      <c r="D813" s="5"/>
      <c r="E813" s="5"/>
    </row>
    <row r="814" spans="1:5" ht="15.75" customHeight="1">
      <c r="A814" s="5"/>
      <c r="B814" s="5"/>
      <c r="C814" s="5"/>
      <c r="D814" s="5"/>
      <c r="E814" s="5"/>
    </row>
    <row r="815" spans="1:5" ht="15.75" customHeight="1">
      <c r="A815" s="5"/>
      <c r="B815" s="5"/>
      <c r="C815" s="5"/>
      <c r="D815" s="5"/>
      <c r="E815" s="5"/>
    </row>
    <row r="816" spans="1:5" ht="15.75" customHeight="1">
      <c r="A816" s="5"/>
      <c r="B816" s="5"/>
      <c r="C816" s="5"/>
      <c r="D816" s="5"/>
      <c r="E816" s="5"/>
    </row>
    <row r="817" spans="1:5" ht="15.75" customHeight="1">
      <c r="A817" s="5"/>
      <c r="B817" s="5"/>
      <c r="C817" s="5"/>
      <c r="D817" s="5"/>
      <c r="E817" s="5"/>
    </row>
    <row r="818" spans="1:5" ht="15.75" customHeight="1">
      <c r="A818" s="5"/>
      <c r="B818" s="5"/>
      <c r="C818" s="5"/>
      <c r="D818" s="5"/>
      <c r="E818" s="5"/>
    </row>
    <row r="819" spans="1:5" ht="15.75" customHeight="1">
      <c r="A819" s="5"/>
      <c r="B819" s="5"/>
      <c r="C819" s="5"/>
      <c r="D819" s="5"/>
      <c r="E819" s="5"/>
    </row>
    <row r="820" spans="1:5" ht="15.75" customHeight="1">
      <c r="A820" s="5"/>
      <c r="B820" s="5"/>
      <c r="C820" s="5"/>
      <c r="D820" s="5"/>
      <c r="E820" s="5"/>
    </row>
    <row r="821" spans="1:5" ht="15.75" customHeight="1">
      <c r="A821" s="5"/>
      <c r="B821" s="5"/>
      <c r="C821" s="5"/>
      <c r="D821" s="5"/>
      <c r="E821" s="5"/>
    </row>
    <row r="822" spans="1:5" ht="15.75" customHeight="1">
      <c r="A822" s="5"/>
      <c r="B822" s="5"/>
      <c r="C822" s="5"/>
      <c r="D822" s="5"/>
      <c r="E822" s="5"/>
    </row>
    <row r="823" spans="1:5" ht="15.75" customHeight="1">
      <c r="A823" s="5"/>
      <c r="B823" s="5"/>
      <c r="C823" s="5"/>
      <c r="D823" s="5"/>
      <c r="E823" s="5"/>
    </row>
    <row r="824" spans="1:5" ht="15.75" customHeight="1">
      <c r="B824" s="7"/>
    </row>
    <row r="825" spans="1:5" ht="15.75" customHeight="1">
      <c r="B825" s="7"/>
    </row>
    <row r="826" spans="1:5" ht="15.75" customHeight="1">
      <c r="B826" s="7"/>
    </row>
    <row r="827" spans="1:5" ht="15.75" customHeight="1">
      <c r="B827" s="7"/>
    </row>
    <row r="828" spans="1:5" ht="15.75" customHeight="1">
      <c r="B828" s="7"/>
    </row>
    <row r="829" spans="1:5" ht="15.75" customHeight="1">
      <c r="B829" s="7"/>
    </row>
    <row r="830" spans="1:5" ht="15.75" customHeight="1">
      <c r="B830" s="7"/>
    </row>
    <row r="831" spans="1:5" ht="15.75" customHeight="1">
      <c r="B831" s="7"/>
    </row>
    <row r="832" spans="1:5" ht="15.75" customHeight="1">
      <c r="B832" s="7"/>
    </row>
    <row r="833" spans="2:2" ht="15.75" customHeight="1">
      <c r="B833" s="7"/>
    </row>
    <row r="834" spans="2:2" ht="15.75" customHeight="1">
      <c r="B834" s="7"/>
    </row>
    <row r="835" spans="2:2" ht="15.75" customHeight="1">
      <c r="B835" s="7"/>
    </row>
    <row r="836" spans="2:2" ht="15.75" customHeight="1">
      <c r="B836" s="7"/>
    </row>
    <row r="837" spans="2:2" ht="15.75" customHeight="1">
      <c r="B837" s="7"/>
    </row>
    <row r="838" spans="2:2" ht="15.75" customHeight="1">
      <c r="B838" s="7"/>
    </row>
    <row r="839" spans="2:2" ht="15.75" customHeight="1">
      <c r="B839" s="7"/>
    </row>
    <row r="840" spans="2:2" ht="15.75" customHeight="1">
      <c r="B840" s="7"/>
    </row>
    <row r="841" spans="2:2" ht="15.75" customHeight="1">
      <c r="B841" s="7"/>
    </row>
    <row r="842" spans="2:2" ht="15.75" customHeight="1">
      <c r="B842" s="7"/>
    </row>
    <row r="843" spans="2:2" ht="15.75" customHeight="1">
      <c r="B843" s="7"/>
    </row>
    <row r="844" spans="2:2" ht="15.75" customHeight="1">
      <c r="B844" s="7"/>
    </row>
    <row r="845" spans="2:2" ht="15.75" customHeight="1">
      <c r="B845" s="7"/>
    </row>
    <row r="846" spans="2:2" ht="15.75" customHeight="1">
      <c r="B846" s="7"/>
    </row>
    <row r="847" spans="2:2" ht="15.75" customHeight="1">
      <c r="B847" s="7"/>
    </row>
    <row r="848" spans="2:2" ht="15.75" customHeight="1">
      <c r="B848" s="7"/>
    </row>
    <row r="849" spans="2:2" ht="15.75" customHeight="1">
      <c r="B849" s="7"/>
    </row>
    <row r="850" spans="2:2" ht="15.75" customHeight="1">
      <c r="B850" s="7"/>
    </row>
    <row r="851" spans="2:2" ht="15.75" customHeight="1">
      <c r="B851" s="7"/>
    </row>
    <row r="852" spans="2:2" ht="15.75" customHeight="1">
      <c r="B852" s="7"/>
    </row>
    <row r="853" spans="2:2" ht="15.75" customHeight="1">
      <c r="B853" s="7"/>
    </row>
    <row r="854" spans="2:2" ht="15.75" customHeight="1">
      <c r="B854" s="7"/>
    </row>
    <row r="855" spans="2:2" ht="15.75" customHeight="1">
      <c r="B855" s="7"/>
    </row>
    <row r="856" spans="2:2" ht="15.75" customHeight="1">
      <c r="B856" s="7"/>
    </row>
    <row r="857" spans="2:2" ht="15.75" customHeight="1">
      <c r="B857" s="7"/>
    </row>
    <row r="858" spans="2:2" ht="15.75" customHeight="1">
      <c r="B858" s="7"/>
    </row>
    <row r="859" spans="2:2" ht="15.75" customHeight="1">
      <c r="B859" s="7"/>
    </row>
    <row r="860" spans="2:2" ht="15.75" customHeight="1">
      <c r="B860" s="7"/>
    </row>
    <row r="861" spans="2:2" ht="15.75" customHeight="1">
      <c r="B861" s="7"/>
    </row>
    <row r="862" spans="2:2" ht="15.75" customHeight="1">
      <c r="B862" s="7"/>
    </row>
    <row r="863" spans="2:2" ht="15.75" customHeight="1">
      <c r="B863" s="7"/>
    </row>
    <row r="864" spans="2:2" ht="15.75" customHeight="1">
      <c r="B864" s="7"/>
    </row>
    <row r="865" spans="2:2" ht="15.75" customHeight="1">
      <c r="B865" s="7"/>
    </row>
    <row r="866" spans="2:2" ht="15.75" customHeight="1">
      <c r="B866" s="7"/>
    </row>
    <row r="867" spans="2:2" ht="15.75" customHeight="1">
      <c r="B867" s="7"/>
    </row>
    <row r="868" spans="2:2" ht="15.75" customHeight="1">
      <c r="B868" s="7"/>
    </row>
    <row r="869" spans="2:2" ht="15.75" customHeight="1">
      <c r="B869" s="7"/>
    </row>
    <row r="870" spans="2:2" ht="15.75" customHeight="1">
      <c r="B870" s="7"/>
    </row>
    <row r="871" spans="2:2" ht="15.75" customHeight="1">
      <c r="B871" s="7"/>
    </row>
    <row r="872" spans="2:2" ht="15.75" customHeight="1">
      <c r="B872" s="7"/>
    </row>
    <row r="873" spans="2:2" ht="15.75" customHeight="1">
      <c r="B873" s="7"/>
    </row>
    <row r="874" spans="2:2" ht="15.75" customHeight="1">
      <c r="B874" s="7"/>
    </row>
    <row r="875" spans="2:2" ht="15.75" customHeight="1">
      <c r="B875" s="7"/>
    </row>
    <row r="876" spans="2:2" ht="15.75" customHeight="1">
      <c r="B876" s="7"/>
    </row>
    <row r="877" spans="2:2" ht="15.75" customHeight="1">
      <c r="B877" s="7"/>
    </row>
    <row r="878" spans="2:2" ht="15.75" customHeight="1">
      <c r="B878" s="7"/>
    </row>
    <row r="879" spans="2:2" ht="15.75" customHeight="1">
      <c r="B879" s="7"/>
    </row>
    <row r="880" spans="2:2" ht="15.75" customHeight="1">
      <c r="B880" s="7"/>
    </row>
    <row r="881" spans="2:2" ht="15.75" customHeight="1">
      <c r="B881" s="7"/>
    </row>
    <row r="882" spans="2:2" ht="15.75" customHeight="1">
      <c r="B882" s="7"/>
    </row>
    <row r="883" spans="2:2" ht="15.75" customHeight="1">
      <c r="B883" s="7"/>
    </row>
    <row r="884" spans="2:2" ht="15.75" customHeight="1">
      <c r="B884" s="7"/>
    </row>
    <row r="885" spans="2:2" ht="15.75" customHeight="1">
      <c r="B885" s="7"/>
    </row>
    <row r="886" spans="2:2" ht="15.75" customHeight="1">
      <c r="B886" s="7"/>
    </row>
    <row r="887" spans="2:2" ht="15.75" customHeight="1">
      <c r="B887" s="7"/>
    </row>
    <row r="888" spans="2:2" ht="15.75" customHeight="1">
      <c r="B888" s="7"/>
    </row>
    <row r="889" spans="2:2" ht="15.75" customHeight="1">
      <c r="B889" s="7"/>
    </row>
    <row r="890" spans="2:2" ht="15.75" customHeight="1">
      <c r="B890" s="7"/>
    </row>
    <row r="891" spans="2:2" ht="15.75" customHeight="1">
      <c r="B891" s="7"/>
    </row>
    <row r="892" spans="2:2" ht="15.75" customHeight="1">
      <c r="B892" s="7"/>
    </row>
    <row r="893" spans="2:2" ht="15.75" customHeight="1">
      <c r="B893" s="7"/>
    </row>
    <row r="894" spans="2:2" ht="15.75" customHeight="1">
      <c r="B894" s="7"/>
    </row>
    <row r="895" spans="2:2" ht="15.75" customHeight="1">
      <c r="B895" s="7"/>
    </row>
    <row r="896" spans="2:2" ht="15.75" customHeight="1">
      <c r="B896" s="7"/>
    </row>
    <row r="897" spans="2:2" ht="15.75" customHeight="1">
      <c r="B897" s="7"/>
    </row>
    <row r="898" spans="2:2" ht="15.75" customHeight="1">
      <c r="B898" s="7"/>
    </row>
    <row r="899" spans="2:2" ht="15.75" customHeight="1">
      <c r="B899" s="7"/>
    </row>
    <row r="900" spans="2:2" ht="15.75" customHeight="1">
      <c r="B900" s="7"/>
    </row>
    <row r="901" spans="2:2" ht="15.75" customHeight="1">
      <c r="B901" s="7"/>
    </row>
    <row r="902" spans="2:2" ht="15.75" customHeight="1">
      <c r="B902" s="7"/>
    </row>
    <row r="903" spans="2:2" ht="15.75" customHeight="1">
      <c r="B903" s="7"/>
    </row>
    <row r="904" spans="2:2" ht="15.75" customHeight="1">
      <c r="B904" s="7"/>
    </row>
    <row r="905" spans="2:2" ht="15.75" customHeight="1">
      <c r="B905" s="7"/>
    </row>
    <row r="906" spans="2:2" ht="15.75" customHeight="1">
      <c r="B906" s="7"/>
    </row>
    <row r="907" spans="2:2" ht="15.75" customHeight="1">
      <c r="B907" s="7"/>
    </row>
    <row r="908" spans="2:2" ht="15.75" customHeight="1">
      <c r="B908" s="7"/>
    </row>
    <row r="909" spans="2:2" ht="15.75" customHeight="1">
      <c r="B909" s="7"/>
    </row>
    <row r="910" spans="2:2" ht="15.75" customHeight="1">
      <c r="B910" s="7"/>
    </row>
    <row r="911" spans="2:2" ht="15.75" customHeight="1">
      <c r="B911" s="7"/>
    </row>
    <row r="912" spans="2:2" ht="15.75" customHeight="1">
      <c r="B912" s="7"/>
    </row>
    <row r="913" spans="2:2" ht="15.75" customHeight="1">
      <c r="B913" s="7"/>
    </row>
    <row r="914" spans="2:2" ht="15.75" customHeight="1">
      <c r="B914" s="7"/>
    </row>
    <row r="915" spans="2:2" ht="15.75" customHeight="1">
      <c r="B915" s="7"/>
    </row>
    <row r="916" spans="2:2" ht="15.75" customHeight="1">
      <c r="B916" s="7"/>
    </row>
    <row r="917" spans="2:2" ht="15.75" customHeight="1">
      <c r="B917" s="7"/>
    </row>
    <row r="918" spans="2:2" ht="15.75" customHeight="1">
      <c r="B918" s="7"/>
    </row>
    <row r="919" spans="2:2" ht="15.75" customHeight="1">
      <c r="B919" s="7"/>
    </row>
    <row r="920" spans="2:2" ht="15.75" customHeight="1">
      <c r="B920" s="7"/>
    </row>
    <row r="921" spans="2:2" ht="15.75" customHeight="1">
      <c r="B921" s="7"/>
    </row>
    <row r="922" spans="2:2" ht="15.75" customHeight="1">
      <c r="B922" s="7"/>
    </row>
    <row r="923" spans="2:2" ht="15.75" customHeight="1">
      <c r="B923" s="7"/>
    </row>
    <row r="924" spans="2:2" ht="15.75" customHeight="1">
      <c r="B924" s="7"/>
    </row>
    <row r="925" spans="2:2" ht="15.75" customHeight="1">
      <c r="B925" s="7"/>
    </row>
    <row r="926" spans="2:2" ht="15.75" customHeight="1">
      <c r="B926" s="7"/>
    </row>
    <row r="927" spans="2:2" ht="15.75" customHeight="1">
      <c r="B927" s="7"/>
    </row>
    <row r="928" spans="2:2" ht="15.75" customHeight="1">
      <c r="B928" s="7"/>
    </row>
    <row r="929" spans="2:2" ht="15.75" customHeight="1">
      <c r="B929" s="7"/>
    </row>
    <row r="930" spans="2:2" ht="15.75" customHeight="1">
      <c r="B930" s="7"/>
    </row>
    <row r="931" spans="2:2" ht="15.75" customHeight="1">
      <c r="B931" s="7"/>
    </row>
    <row r="932" spans="2:2" ht="15.75" customHeight="1">
      <c r="B932" s="7"/>
    </row>
    <row r="933" spans="2:2" ht="15.75" customHeight="1">
      <c r="B933" s="7"/>
    </row>
    <row r="934" spans="2:2" ht="15.75" customHeight="1">
      <c r="B934" s="7"/>
    </row>
    <row r="935" spans="2:2" ht="15.75" customHeight="1">
      <c r="B935" s="7"/>
    </row>
    <row r="936" spans="2:2" ht="15.75" customHeight="1">
      <c r="B936" s="7"/>
    </row>
    <row r="937" spans="2:2" ht="15.75" customHeight="1">
      <c r="B937" s="7"/>
    </row>
    <row r="938" spans="2:2" ht="15.75" customHeight="1">
      <c r="B938" s="7"/>
    </row>
    <row r="939" spans="2:2" ht="15.75" customHeight="1">
      <c r="B939" s="7"/>
    </row>
    <row r="940" spans="2:2" ht="15.75" customHeight="1">
      <c r="B940" s="7"/>
    </row>
    <row r="941" spans="2:2" ht="15.75" customHeight="1">
      <c r="B941" s="7"/>
    </row>
    <row r="942" spans="2:2" ht="15.75" customHeight="1">
      <c r="B942" s="7"/>
    </row>
    <row r="943" spans="2:2" ht="15.75" customHeight="1">
      <c r="B943" s="7"/>
    </row>
    <row r="944" spans="2:2" ht="15.75" customHeight="1">
      <c r="B944" s="7"/>
    </row>
    <row r="945" spans="2:2" ht="15.75" customHeight="1">
      <c r="B945" s="7"/>
    </row>
    <row r="946" spans="2:2" ht="15.75" customHeight="1">
      <c r="B946" s="7"/>
    </row>
    <row r="947" spans="2:2" ht="15.75" customHeight="1">
      <c r="B947" s="7"/>
    </row>
    <row r="948" spans="2:2" ht="15.75" customHeight="1">
      <c r="B948" s="7"/>
    </row>
    <row r="949" spans="2:2" ht="15.75" customHeight="1">
      <c r="B949" s="7"/>
    </row>
    <row r="950" spans="2:2" ht="15.75" customHeight="1">
      <c r="B950" s="7"/>
    </row>
    <row r="951" spans="2:2" ht="15.75" customHeight="1">
      <c r="B951" s="7"/>
    </row>
    <row r="952" spans="2:2" ht="15.75" customHeight="1">
      <c r="B952" s="7"/>
    </row>
    <row r="953" spans="2:2" ht="15.75" customHeight="1">
      <c r="B953" s="7"/>
    </row>
    <row r="954" spans="2:2" ht="15.75" customHeight="1">
      <c r="B954" s="7"/>
    </row>
    <row r="955" spans="2:2" ht="15.75" customHeight="1">
      <c r="B955" s="7"/>
    </row>
    <row r="956" spans="2:2" ht="15.75" customHeight="1">
      <c r="B956" s="7"/>
    </row>
    <row r="957" spans="2:2" ht="15.75" customHeight="1">
      <c r="B957" s="7"/>
    </row>
    <row r="958" spans="2:2" ht="15.75" customHeight="1">
      <c r="B958" s="7"/>
    </row>
    <row r="959" spans="2:2" ht="15.75" customHeight="1">
      <c r="B959" s="7"/>
    </row>
    <row r="960" spans="2:2" ht="15.75" customHeight="1">
      <c r="B960" s="7"/>
    </row>
    <row r="961" spans="2:2" ht="15.75" customHeight="1">
      <c r="B961" s="7"/>
    </row>
    <row r="962" spans="2:2" ht="15.75" customHeight="1">
      <c r="B962" s="7"/>
    </row>
    <row r="963" spans="2:2" ht="15.75" customHeight="1">
      <c r="B963" s="7"/>
    </row>
    <row r="964" spans="2:2" ht="15.75" customHeight="1">
      <c r="B964" s="7"/>
    </row>
    <row r="965" spans="2:2" ht="15.75" customHeight="1">
      <c r="B965" s="7"/>
    </row>
    <row r="966" spans="2:2" ht="15.75" customHeight="1">
      <c r="B966" s="7"/>
    </row>
    <row r="967" spans="2:2" ht="15.75" customHeight="1">
      <c r="B967" s="7"/>
    </row>
    <row r="968" spans="2:2" ht="15.75" customHeight="1">
      <c r="B968" s="7"/>
    </row>
    <row r="969" spans="2:2" ht="15.75" customHeight="1">
      <c r="B969" s="7"/>
    </row>
    <row r="970" spans="2:2" ht="15.75" customHeight="1">
      <c r="B970" s="7"/>
    </row>
    <row r="971" spans="2:2" ht="15.75" customHeight="1">
      <c r="B971" s="7"/>
    </row>
    <row r="972" spans="2:2" ht="15.75" customHeight="1">
      <c r="B972" s="7"/>
    </row>
    <row r="973" spans="2:2" ht="15.75" customHeight="1">
      <c r="B973" s="7"/>
    </row>
    <row r="974" spans="2:2" ht="15.75" customHeight="1">
      <c r="B974" s="7"/>
    </row>
    <row r="975" spans="2:2" ht="15.75" customHeight="1">
      <c r="B975" s="7"/>
    </row>
    <row r="976" spans="2:2" ht="15.75" customHeight="1">
      <c r="B976" s="7"/>
    </row>
    <row r="977" spans="2:2" ht="15.75" customHeight="1">
      <c r="B977" s="7"/>
    </row>
    <row r="978" spans="2:2" ht="15.75" customHeight="1">
      <c r="B978" s="7"/>
    </row>
    <row r="979" spans="2:2" ht="15.75" customHeight="1">
      <c r="B979" s="7"/>
    </row>
    <row r="980" spans="2:2" ht="15.75" customHeight="1">
      <c r="B980" s="7"/>
    </row>
    <row r="981" spans="2:2" ht="15.75" customHeight="1">
      <c r="B981" s="7"/>
    </row>
    <row r="982" spans="2:2" ht="15.75" customHeight="1">
      <c r="B982" s="7"/>
    </row>
    <row r="983" spans="2:2" ht="15.75" customHeight="1">
      <c r="B983" s="7"/>
    </row>
    <row r="984" spans="2:2" ht="15.75" customHeight="1">
      <c r="B984" s="7"/>
    </row>
    <row r="985" spans="2:2" ht="15.75" customHeight="1">
      <c r="B985" s="7"/>
    </row>
    <row r="986" spans="2:2" ht="15.75" customHeight="1">
      <c r="B986" s="7"/>
    </row>
    <row r="987" spans="2:2" ht="15.75" customHeight="1">
      <c r="B987" s="7"/>
    </row>
    <row r="988" spans="2:2" ht="15.75" customHeight="1">
      <c r="B988" s="7"/>
    </row>
    <row r="989" spans="2:2" ht="15.75" customHeight="1">
      <c r="B989" s="7"/>
    </row>
    <row r="990" spans="2:2" ht="15.75" customHeight="1">
      <c r="B990" s="7"/>
    </row>
    <row r="991" spans="2:2" ht="15.75" customHeight="1">
      <c r="B991" s="7"/>
    </row>
    <row r="992" spans="2:2" ht="15.75" customHeight="1">
      <c r="B992" s="7"/>
    </row>
    <row r="993" spans="2:2" ht="15.75" customHeight="1">
      <c r="B993" s="7"/>
    </row>
    <row r="994" spans="2:2" ht="15.75" customHeight="1">
      <c r="B994" s="7"/>
    </row>
    <row r="995" spans="2:2" ht="15.75" customHeight="1">
      <c r="B995" s="7"/>
    </row>
    <row r="996" spans="2:2" ht="15.75" customHeight="1">
      <c r="B996" s="7"/>
    </row>
    <row r="997" spans="2:2" ht="15.75" customHeight="1">
      <c r="B997" s="7"/>
    </row>
    <row r="998" spans="2:2" ht="15.75" customHeight="1">
      <c r="B998" s="7"/>
    </row>
    <row r="999" spans="2:2" ht="15.75" customHeight="1">
      <c r="B999" s="7"/>
    </row>
    <row r="1000" spans="2:2" ht="15.75" customHeight="1">
      <c r="B1000" s="7"/>
    </row>
  </sheetData>
  <autoFilter ref="A1:L674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696"/>
  <sheetViews>
    <sheetView workbookViewId="0">
      <selection activeCell="H490" sqref="H490"/>
    </sheetView>
  </sheetViews>
  <sheetFormatPr defaultColWidth="12.5703125" defaultRowHeight="15" customHeight="1"/>
  <cols>
    <col min="8" max="8" width="25.28515625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1456</v>
      </c>
      <c r="F1" s="4" t="s">
        <v>1455</v>
      </c>
      <c r="G1" s="4" t="s">
        <v>4</v>
      </c>
      <c r="H1" s="4" t="s">
        <v>5</v>
      </c>
      <c r="I1" s="4" t="s">
        <v>6</v>
      </c>
      <c r="J1" s="4" t="s">
        <v>7</v>
      </c>
      <c r="K1" s="8" t="s">
        <v>9</v>
      </c>
      <c r="L1" s="8" t="s">
        <v>10</v>
      </c>
      <c r="M1" s="8" t="s">
        <v>11</v>
      </c>
      <c r="N1" s="8" t="s">
        <v>12</v>
      </c>
    </row>
    <row r="2" spans="1:14">
      <c r="A2" t="s">
        <v>415</v>
      </c>
      <c r="B2" t="s">
        <v>416</v>
      </c>
      <c r="C2" t="s">
        <v>417</v>
      </c>
      <c r="D2" t="s">
        <v>418</v>
      </c>
      <c r="E2">
        <v>11940346464</v>
      </c>
      <c r="F2" s="4">
        <v>55</v>
      </c>
      <c r="G2" s="4" t="str">
        <f>CONCATENATE(F2,E2)</f>
        <v>5511940346464</v>
      </c>
      <c r="H2" t="s">
        <v>2788</v>
      </c>
      <c r="I2" t="s">
        <v>14</v>
      </c>
      <c r="J2" t="s">
        <v>20</v>
      </c>
      <c r="K2" t="s">
        <v>16</v>
      </c>
      <c r="L2" t="s">
        <v>419</v>
      </c>
      <c r="M2" t="s">
        <v>420</v>
      </c>
      <c r="N2" t="s">
        <v>421</v>
      </c>
    </row>
    <row r="3" spans="1:14">
      <c r="A3" t="s">
        <v>422</v>
      </c>
      <c r="B3" t="s">
        <v>416</v>
      </c>
      <c r="C3" t="s">
        <v>423</v>
      </c>
      <c r="D3" t="s">
        <v>424</v>
      </c>
      <c r="E3">
        <v>31975539005</v>
      </c>
      <c r="F3" s="4">
        <v>55</v>
      </c>
      <c r="G3" s="4" t="str">
        <f t="shared" ref="G3:G66" si="0">CONCATENATE(F3,E3)</f>
        <v>5531975539005</v>
      </c>
      <c r="H3" t="s">
        <v>2786</v>
      </c>
      <c r="I3" t="s">
        <v>14</v>
      </c>
      <c r="J3" t="s">
        <v>101</v>
      </c>
      <c r="K3" t="s">
        <v>16</v>
      </c>
      <c r="L3" t="s">
        <v>425</v>
      </c>
      <c r="M3" t="s">
        <v>405</v>
      </c>
      <c r="N3" t="s">
        <v>405</v>
      </c>
    </row>
    <row r="4" spans="1:14">
      <c r="A4" t="s">
        <v>426</v>
      </c>
      <c r="B4" t="s">
        <v>416</v>
      </c>
      <c r="C4" t="s">
        <v>427</v>
      </c>
      <c r="D4" t="s">
        <v>428</v>
      </c>
      <c r="E4">
        <v>1230185487</v>
      </c>
      <c r="F4" s="4">
        <v>55</v>
      </c>
      <c r="G4" s="4" t="str">
        <f t="shared" si="0"/>
        <v>551230185487</v>
      </c>
      <c r="H4" t="s">
        <v>2786</v>
      </c>
      <c r="I4" t="s">
        <v>14</v>
      </c>
      <c r="J4" t="s">
        <v>19</v>
      </c>
      <c r="K4" t="s">
        <v>16</v>
      </c>
      <c r="L4" t="s">
        <v>429</v>
      </c>
      <c r="M4" t="s">
        <v>405</v>
      </c>
      <c r="N4" t="s">
        <v>405</v>
      </c>
    </row>
    <row r="5" spans="1:14">
      <c r="A5" t="s">
        <v>430</v>
      </c>
      <c r="B5" t="s">
        <v>416</v>
      </c>
      <c r="C5" t="s">
        <v>431</v>
      </c>
      <c r="D5" t="s">
        <v>432</v>
      </c>
      <c r="E5">
        <v>31991665091</v>
      </c>
      <c r="F5" s="4">
        <v>55</v>
      </c>
      <c r="G5" s="4" t="str">
        <f t="shared" si="0"/>
        <v>5531991665091</v>
      </c>
      <c r="H5" t="s">
        <v>2780</v>
      </c>
      <c r="I5" t="s">
        <v>14</v>
      </c>
      <c r="J5" t="s">
        <v>17</v>
      </c>
      <c r="K5" t="s">
        <v>16</v>
      </c>
      <c r="L5" t="s">
        <v>433</v>
      </c>
      <c r="M5" t="s">
        <v>434</v>
      </c>
      <c r="N5" t="s">
        <v>435</v>
      </c>
    </row>
    <row r="6" spans="1:14">
      <c r="A6" t="s">
        <v>436</v>
      </c>
      <c r="B6" t="s">
        <v>416</v>
      </c>
      <c r="C6" t="s">
        <v>437</v>
      </c>
      <c r="D6" t="s">
        <v>438</v>
      </c>
      <c r="E6">
        <v>11939391930</v>
      </c>
      <c r="F6" s="4">
        <v>55</v>
      </c>
      <c r="G6" s="4" t="str">
        <f t="shared" si="0"/>
        <v>5511939391930</v>
      </c>
      <c r="H6" t="s">
        <v>2780</v>
      </c>
      <c r="I6" t="s">
        <v>14</v>
      </c>
      <c r="J6" t="s">
        <v>15</v>
      </c>
      <c r="K6" t="s">
        <v>16</v>
      </c>
      <c r="L6" t="s">
        <v>439</v>
      </c>
      <c r="M6" t="s">
        <v>440</v>
      </c>
      <c r="N6" t="s">
        <v>441</v>
      </c>
    </row>
    <row r="7" spans="1:14">
      <c r="A7" t="s">
        <v>442</v>
      </c>
      <c r="B7" t="s">
        <v>416</v>
      </c>
      <c r="C7" t="s">
        <v>443</v>
      </c>
      <c r="D7" t="s">
        <v>42</v>
      </c>
      <c r="E7">
        <v>11984111572</v>
      </c>
      <c r="F7" s="4">
        <v>55</v>
      </c>
      <c r="G7" s="4" t="str">
        <f t="shared" si="0"/>
        <v>5511984111572</v>
      </c>
      <c r="H7" t="s">
        <v>2789</v>
      </c>
      <c r="I7" t="s">
        <v>14</v>
      </c>
      <c r="J7" t="s">
        <v>19</v>
      </c>
      <c r="K7" t="s">
        <v>16</v>
      </c>
      <c r="L7" t="s">
        <v>444</v>
      </c>
      <c r="M7" t="s">
        <v>445</v>
      </c>
      <c r="N7" t="s">
        <v>446</v>
      </c>
    </row>
    <row r="8" spans="1:14">
      <c r="A8" t="s">
        <v>447</v>
      </c>
      <c r="B8" t="s">
        <v>416</v>
      </c>
      <c r="C8" t="s">
        <v>448</v>
      </c>
      <c r="D8" t="s">
        <v>54</v>
      </c>
      <c r="E8">
        <v>11998586363</v>
      </c>
      <c r="F8" s="4">
        <v>55</v>
      </c>
      <c r="G8" s="4" t="str">
        <f t="shared" si="0"/>
        <v>5511998586363</v>
      </c>
      <c r="H8" t="s">
        <v>2789</v>
      </c>
      <c r="I8" t="s">
        <v>14</v>
      </c>
      <c r="J8" t="s">
        <v>15</v>
      </c>
      <c r="K8" t="s">
        <v>16</v>
      </c>
      <c r="L8" t="s">
        <v>449</v>
      </c>
      <c r="M8" t="s">
        <v>450</v>
      </c>
      <c r="N8" t="s">
        <v>451</v>
      </c>
    </row>
    <row r="9" spans="1:14">
      <c r="A9" t="s">
        <v>452</v>
      </c>
      <c r="B9" t="s">
        <v>416</v>
      </c>
      <c r="C9" t="s">
        <v>453</v>
      </c>
      <c r="D9" t="s">
        <v>30</v>
      </c>
      <c r="E9">
        <v>11996005678</v>
      </c>
      <c r="F9" s="4">
        <v>55</v>
      </c>
      <c r="G9" s="4" t="str">
        <f t="shared" si="0"/>
        <v>5511996005678</v>
      </c>
      <c r="H9" t="s">
        <v>2789</v>
      </c>
      <c r="I9" t="s">
        <v>14</v>
      </c>
      <c r="J9" t="s">
        <v>19</v>
      </c>
      <c r="K9" t="s">
        <v>16</v>
      </c>
      <c r="L9" t="s">
        <v>454</v>
      </c>
      <c r="M9" t="s">
        <v>455</v>
      </c>
      <c r="N9" t="s">
        <v>456</v>
      </c>
    </row>
    <row r="10" spans="1:14">
      <c r="A10" t="s">
        <v>457</v>
      </c>
      <c r="B10" t="s">
        <v>416</v>
      </c>
      <c r="C10" t="s">
        <v>22</v>
      </c>
      <c r="D10" t="s">
        <v>23</v>
      </c>
      <c r="F10" s="4">
        <v>55</v>
      </c>
      <c r="G10" s="4" t="str">
        <f t="shared" si="0"/>
        <v>55</v>
      </c>
      <c r="H10" t="s">
        <v>2789</v>
      </c>
      <c r="I10" t="s">
        <v>14</v>
      </c>
      <c r="J10" t="s">
        <v>15</v>
      </c>
      <c r="K10" t="s">
        <v>16</v>
      </c>
      <c r="L10" t="s">
        <v>24</v>
      </c>
      <c r="M10" t="s">
        <v>458</v>
      </c>
      <c r="N10" t="s">
        <v>459</v>
      </c>
    </row>
    <row r="11" spans="1:14">
      <c r="A11" t="s">
        <v>460</v>
      </c>
      <c r="B11" t="s">
        <v>416</v>
      </c>
      <c r="C11" t="s">
        <v>461</v>
      </c>
      <c r="D11" t="s">
        <v>462</v>
      </c>
      <c r="E11">
        <v>11949407981</v>
      </c>
      <c r="F11" s="4">
        <v>55</v>
      </c>
      <c r="G11" s="4" t="str">
        <f t="shared" si="0"/>
        <v>5511949407981</v>
      </c>
      <c r="H11" t="s">
        <v>2780</v>
      </c>
      <c r="I11" t="s">
        <v>14</v>
      </c>
      <c r="J11" t="s">
        <v>15</v>
      </c>
      <c r="K11" t="s">
        <v>16</v>
      </c>
      <c r="L11" t="s">
        <v>463</v>
      </c>
      <c r="M11" t="s">
        <v>464</v>
      </c>
      <c r="N11" t="s">
        <v>461</v>
      </c>
    </row>
    <row r="12" spans="1:14">
      <c r="A12" t="s">
        <v>465</v>
      </c>
      <c r="B12" t="s">
        <v>416</v>
      </c>
      <c r="C12" t="s">
        <v>466</v>
      </c>
      <c r="D12" t="s">
        <v>467</v>
      </c>
      <c r="F12" s="4">
        <v>55</v>
      </c>
      <c r="G12" s="4" t="str">
        <f t="shared" si="0"/>
        <v>55</v>
      </c>
      <c r="H12" t="s">
        <v>2780</v>
      </c>
      <c r="I12" t="s">
        <v>14</v>
      </c>
      <c r="J12" t="s">
        <v>15</v>
      </c>
      <c r="K12" t="s">
        <v>16</v>
      </c>
      <c r="L12" t="s">
        <v>468</v>
      </c>
      <c r="M12" t="s">
        <v>469</v>
      </c>
      <c r="N12" t="s">
        <v>470</v>
      </c>
    </row>
    <row r="13" spans="1:14">
      <c r="A13" t="s">
        <v>471</v>
      </c>
      <c r="B13" t="s">
        <v>416</v>
      </c>
      <c r="C13" t="s">
        <v>472</v>
      </c>
      <c r="D13" t="s">
        <v>473</v>
      </c>
      <c r="F13" s="4">
        <v>55</v>
      </c>
      <c r="G13" s="4" t="str">
        <f t="shared" si="0"/>
        <v>55</v>
      </c>
      <c r="H13" t="s">
        <v>2789</v>
      </c>
      <c r="I13" t="s">
        <v>14</v>
      </c>
      <c r="J13" t="s">
        <v>15</v>
      </c>
      <c r="K13" t="s">
        <v>16</v>
      </c>
      <c r="L13" t="s">
        <v>474</v>
      </c>
      <c r="M13" t="s">
        <v>475</v>
      </c>
      <c r="N13" t="s">
        <v>476</v>
      </c>
    </row>
    <row r="14" spans="1:14">
      <c r="A14" t="s">
        <v>477</v>
      </c>
      <c r="B14" t="s">
        <v>416</v>
      </c>
      <c r="C14" t="s">
        <v>412</v>
      </c>
      <c r="D14" t="s">
        <v>54</v>
      </c>
      <c r="E14">
        <v>11971486400</v>
      </c>
      <c r="F14" s="4">
        <v>55</v>
      </c>
      <c r="G14" s="4" t="str">
        <f t="shared" si="0"/>
        <v>5511971486400</v>
      </c>
      <c r="H14" t="s">
        <v>2781</v>
      </c>
      <c r="I14" t="s">
        <v>14</v>
      </c>
      <c r="J14" t="s">
        <v>15</v>
      </c>
      <c r="K14" t="s">
        <v>16</v>
      </c>
      <c r="L14" t="s">
        <v>413</v>
      </c>
      <c r="M14" t="s">
        <v>405</v>
      </c>
      <c r="N14" t="s">
        <v>405</v>
      </c>
    </row>
    <row r="15" spans="1:14">
      <c r="A15" t="s">
        <v>478</v>
      </c>
      <c r="B15" t="s">
        <v>416</v>
      </c>
      <c r="C15" t="s">
        <v>479</v>
      </c>
      <c r="D15" t="s">
        <v>54</v>
      </c>
      <c r="E15">
        <v>11911445032</v>
      </c>
      <c r="F15" s="4">
        <v>55</v>
      </c>
      <c r="G15" s="4" t="str">
        <f t="shared" si="0"/>
        <v>5511911445032</v>
      </c>
      <c r="H15" t="s">
        <v>2781</v>
      </c>
      <c r="I15" t="s">
        <v>14</v>
      </c>
      <c r="J15" t="s">
        <v>15</v>
      </c>
      <c r="K15" t="s">
        <v>16</v>
      </c>
      <c r="L15" t="s">
        <v>480</v>
      </c>
      <c r="M15" t="s">
        <v>405</v>
      </c>
      <c r="N15" t="s">
        <v>405</v>
      </c>
    </row>
    <row r="16" spans="1:14">
      <c r="A16" t="s">
        <v>481</v>
      </c>
      <c r="B16" t="s">
        <v>416</v>
      </c>
      <c r="C16" t="s">
        <v>482</v>
      </c>
      <c r="D16" t="s">
        <v>483</v>
      </c>
      <c r="F16" s="4">
        <v>55</v>
      </c>
      <c r="G16" s="4" t="str">
        <f t="shared" si="0"/>
        <v>55</v>
      </c>
      <c r="H16" t="s">
        <v>2781</v>
      </c>
      <c r="I16" t="s">
        <v>14</v>
      </c>
      <c r="J16" t="s">
        <v>15</v>
      </c>
      <c r="K16" t="s">
        <v>16</v>
      </c>
      <c r="L16" t="s">
        <v>484</v>
      </c>
      <c r="M16" t="s">
        <v>405</v>
      </c>
      <c r="N16" t="s">
        <v>405</v>
      </c>
    </row>
    <row r="17" spans="1:14">
      <c r="A17" t="s">
        <v>485</v>
      </c>
      <c r="B17" t="s">
        <v>416</v>
      </c>
      <c r="C17" t="s">
        <v>486</v>
      </c>
      <c r="D17" t="s">
        <v>54</v>
      </c>
      <c r="E17">
        <v>13997174553</v>
      </c>
      <c r="F17" s="4">
        <v>55</v>
      </c>
      <c r="G17" s="4" t="str">
        <f t="shared" si="0"/>
        <v>5513997174553</v>
      </c>
      <c r="H17" t="s">
        <v>2789</v>
      </c>
      <c r="I17" t="s">
        <v>14</v>
      </c>
      <c r="J17" t="s">
        <v>15</v>
      </c>
      <c r="K17" t="s">
        <v>16</v>
      </c>
      <c r="L17" t="s">
        <v>487</v>
      </c>
      <c r="M17" t="s">
        <v>488</v>
      </c>
      <c r="N17" t="s">
        <v>489</v>
      </c>
    </row>
    <row r="18" spans="1:14">
      <c r="A18" t="s">
        <v>490</v>
      </c>
      <c r="B18" t="s">
        <v>416</v>
      </c>
      <c r="C18" t="s">
        <v>491</v>
      </c>
      <c r="D18" t="s">
        <v>492</v>
      </c>
      <c r="F18" s="4">
        <v>55</v>
      </c>
      <c r="G18" s="4" t="str">
        <f t="shared" si="0"/>
        <v>55</v>
      </c>
      <c r="H18" t="s">
        <v>2780</v>
      </c>
      <c r="I18" t="s">
        <v>14</v>
      </c>
      <c r="J18" t="s">
        <v>15</v>
      </c>
      <c r="K18" t="s">
        <v>16</v>
      </c>
      <c r="L18" t="s">
        <v>493</v>
      </c>
      <c r="M18" t="s">
        <v>494</v>
      </c>
      <c r="N18" t="s">
        <v>495</v>
      </c>
    </row>
    <row r="19" spans="1:14">
      <c r="A19" t="s">
        <v>496</v>
      </c>
      <c r="B19" t="s">
        <v>416</v>
      </c>
      <c r="C19" t="s">
        <v>497</v>
      </c>
      <c r="D19" t="s">
        <v>498</v>
      </c>
      <c r="E19">
        <v>31989014897</v>
      </c>
      <c r="F19" s="4">
        <v>55</v>
      </c>
      <c r="G19" s="4" t="str">
        <f t="shared" si="0"/>
        <v>5531989014897</v>
      </c>
      <c r="H19" t="s">
        <v>2780</v>
      </c>
      <c r="I19" t="s">
        <v>14</v>
      </c>
      <c r="J19" t="s">
        <v>17</v>
      </c>
      <c r="K19" t="s">
        <v>16</v>
      </c>
      <c r="L19" t="s">
        <v>499</v>
      </c>
      <c r="M19" t="s">
        <v>500</v>
      </c>
      <c r="N19" t="s">
        <v>501</v>
      </c>
    </row>
    <row r="20" spans="1:14">
      <c r="A20" t="s">
        <v>502</v>
      </c>
      <c r="B20" t="s">
        <v>416</v>
      </c>
      <c r="C20" t="s">
        <v>503</v>
      </c>
      <c r="D20" t="s">
        <v>54</v>
      </c>
      <c r="E20">
        <v>11947888348</v>
      </c>
      <c r="F20" s="4">
        <v>55</v>
      </c>
      <c r="G20" s="4" t="str">
        <f t="shared" si="0"/>
        <v>5511947888348</v>
      </c>
      <c r="H20" t="s">
        <v>2789</v>
      </c>
      <c r="I20" t="s">
        <v>14</v>
      </c>
      <c r="J20" t="s">
        <v>15</v>
      </c>
      <c r="K20" t="s">
        <v>16</v>
      </c>
      <c r="L20" t="s">
        <v>504</v>
      </c>
      <c r="M20" t="s">
        <v>505</v>
      </c>
      <c r="N20" t="s">
        <v>506</v>
      </c>
    </row>
    <row r="21" spans="1:14">
      <c r="A21" t="s">
        <v>507</v>
      </c>
      <c r="B21" t="s">
        <v>416</v>
      </c>
      <c r="C21" t="s">
        <v>508</v>
      </c>
      <c r="D21" t="s">
        <v>51</v>
      </c>
      <c r="E21">
        <v>12991279955</v>
      </c>
      <c r="F21" s="4">
        <v>55</v>
      </c>
      <c r="G21" s="4" t="str">
        <f t="shared" si="0"/>
        <v>5512991279955</v>
      </c>
      <c r="H21" t="s">
        <v>2789</v>
      </c>
      <c r="I21" t="s">
        <v>14</v>
      </c>
      <c r="J21" t="s">
        <v>19</v>
      </c>
      <c r="K21" t="s">
        <v>16</v>
      </c>
      <c r="L21" t="s">
        <v>509</v>
      </c>
      <c r="M21" t="s">
        <v>510</v>
      </c>
      <c r="N21" t="s">
        <v>511</v>
      </c>
    </row>
    <row r="22" spans="1:14">
      <c r="A22" t="s">
        <v>512</v>
      </c>
      <c r="B22" t="s">
        <v>416</v>
      </c>
      <c r="C22" t="s">
        <v>513</v>
      </c>
      <c r="D22" t="s">
        <v>514</v>
      </c>
      <c r="E22">
        <v>31988011346</v>
      </c>
      <c r="F22" s="4">
        <v>55</v>
      </c>
      <c r="G22" s="4" t="str">
        <f t="shared" si="0"/>
        <v>5531988011346</v>
      </c>
      <c r="H22" t="s">
        <v>2789</v>
      </c>
      <c r="I22" t="s">
        <v>14</v>
      </c>
      <c r="J22" t="s">
        <v>17</v>
      </c>
      <c r="K22" t="s">
        <v>16</v>
      </c>
      <c r="L22" t="s">
        <v>515</v>
      </c>
      <c r="M22" t="s">
        <v>516</v>
      </c>
      <c r="N22" t="s">
        <v>517</v>
      </c>
    </row>
    <row r="23" spans="1:14">
      <c r="A23" t="s">
        <v>518</v>
      </c>
      <c r="B23" t="s">
        <v>416</v>
      </c>
      <c r="C23" t="s">
        <v>519</v>
      </c>
      <c r="D23" t="s">
        <v>239</v>
      </c>
      <c r="E23">
        <v>12974014347</v>
      </c>
      <c r="F23" s="4">
        <v>55</v>
      </c>
      <c r="G23" s="4" t="str">
        <f t="shared" si="0"/>
        <v>5512974014347</v>
      </c>
      <c r="H23" t="s">
        <v>2778</v>
      </c>
      <c r="I23" t="s">
        <v>14</v>
      </c>
      <c r="J23" t="s">
        <v>19</v>
      </c>
      <c r="K23" t="s">
        <v>16</v>
      </c>
      <c r="L23" t="s">
        <v>520</v>
      </c>
      <c r="M23" t="s">
        <v>521</v>
      </c>
      <c r="N23" t="s">
        <v>522</v>
      </c>
    </row>
    <row r="24" spans="1:14">
      <c r="A24" t="s">
        <v>523</v>
      </c>
      <c r="B24" t="s">
        <v>416</v>
      </c>
      <c r="C24" t="s">
        <v>524</v>
      </c>
      <c r="D24" t="s">
        <v>525</v>
      </c>
      <c r="E24">
        <v>31991920025</v>
      </c>
      <c r="F24" s="4">
        <v>55</v>
      </c>
      <c r="G24" s="4" t="str">
        <f t="shared" si="0"/>
        <v>5531991920025</v>
      </c>
      <c r="H24" t="s">
        <v>2789</v>
      </c>
      <c r="I24" t="s">
        <v>14</v>
      </c>
      <c r="J24" t="s">
        <v>17</v>
      </c>
      <c r="K24" t="s">
        <v>16</v>
      </c>
      <c r="L24" t="s">
        <v>526</v>
      </c>
      <c r="M24" t="s">
        <v>527</v>
      </c>
      <c r="N24" t="s">
        <v>528</v>
      </c>
    </row>
    <row r="25" spans="1:14">
      <c r="A25" t="s">
        <v>529</v>
      </c>
      <c r="B25" t="s">
        <v>416</v>
      </c>
      <c r="C25" t="s">
        <v>530</v>
      </c>
      <c r="D25" t="s">
        <v>531</v>
      </c>
      <c r="E25">
        <v>31993956144</v>
      </c>
      <c r="F25" s="4">
        <v>55</v>
      </c>
      <c r="G25" s="4" t="str">
        <f t="shared" si="0"/>
        <v>5531993956144</v>
      </c>
      <c r="H25" t="s">
        <v>2789</v>
      </c>
      <c r="I25" t="s">
        <v>14</v>
      </c>
      <c r="J25" t="s">
        <v>17</v>
      </c>
      <c r="K25" t="s">
        <v>16</v>
      </c>
      <c r="L25" t="s">
        <v>532</v>
      </c>
      <c r="M25" t="s">
        <v>533</v>
      </c>
      <c r="N25" t="s">
        <v>534</v>
      </c>
    </row>
    <row r="26" spans="1:14">
      <c r="A26" t="s">
        <v>535</v>
      </c>
      <c r="B26" t="s">
        <v>536</v>
      </c>
      <c r="C26" t="s">
        <v>537</v>
      </c>
      <c r="D26" t="s">
        <v>538</v>
      </c>
      <c r="E26">
        <v>35999664635</v>
      </c>
      <c r="F26" s="4">
        <v>55</v>
      </c>
      <c r="G26" s="4" t="str">
        <f t="shared" si="0"/>
        <v>5535999664635</v>
      </c>
      <c r="H26" t="s">
        <v>2786</v>
      </c>
      <c r="I26" t="s">
        <v>14</v>
      </c>
      <c r="J26" t="s">
        <v>539</v>
      </c>
      <c r="K26" t="s">
        <v>16</v>
      </c>
      <c r="L26" t="s">
        <v>540</v>
      </c>
      <c r="M26" t="s">
        <v>405</v>
      </c>
      <c r="N26" t="s">
        <v>405</v>
      </c>
    </row>
    <row r="27" spans="1:14">
      <c r="A27" t="s">
        <v>541</v>
      </c>
      <c r="B27" t="s">
        <v>536</v>
      </c>
      <c r="C27" t="s">
        <v>542</v>
      </c>
      <c r="D27" t="s">
        <v>543</v>
      </c>
      <c r="E27">
        <v>11994941257</v>
      </c>
      <c r="F27" s="4">
        <v>55</v>
      </c>
      <c r="G27" s="4" t="str">
        <f t="shared" si="0"/>
        <v>5511994941257</v>
      </c>
      <c r="H27" t="s">
        <v>2787</v>
      </c>
      <c r="I27" t="s">
        <v>14</v>
      </c>
      <c r="J27" t="s">
        <v>18</v>
      </c>
      <c r="K27" t="s">
        <v>16</v>
      </c>
      <c r="L27" t="s">
        <v>544</v>
      </c>
      <c r="M27" t="s">
        <v>545</v>
      </c>
      <c r="N27" t="s">
        <v>546</v>
      </c>
    </row>
    <row r="28" spans="1:14">
      <c r="A28" t="s">
        <v>547</v>
      </c>
      <c r="B28" t="s">
        <v>548</v>
      </c>
      <c r="C28" t="s">
        <v>549</v>
      </c>
      <c r="D28" t="s">
        <v>550</v>
      </c>
      <c r="E28">
        <v>66999632858</v>
      </c>
      <c r="F28" s="4">
        <v>55</v>
      </c>
      <c r="G28" s="4" t="str">
        <f t="shared" si="0"/>
        <v>5566999632858</v>
      </c>
      <c r="H28" t="s">
        <v>2788</v>
      </c>
      <c r="I28" t="s">
        <v>14</v>
      </c>
      <c r="J28" t="s">
        <v>18</v>
      </c>
      <c r="K28" t="s">
        <v>16</v>
      </c>
      <c r="L28" t="s">
        <v>551</v>
      </c>
      <c r="M28" t="s">
        <v>552</v>
      </c>
      <c r="N28" t="s">
        <v>553</v>
      </c>
    </row>
    <row r="29" spans="1:14">
      <c r="A29" t="s">
        <v>554</v>
      </c>
      <c r="B29" t="s">
        <v>555</v>
      </c>
      <c r="C29" t="s">
        <v>556</v>
      </c>
      <c r="D29" t="s">
        <v>557</v>
      </c>
      <c r="E29">
        <v>31987092523</v>
      </c>
      <c r="F29" s="4">
        <v>55</v>
      </c>
      <c r="G29" s="4" t="str">
        <f t="shared" si="0"/>
        <v>5531987092523</v>
      </c>
      <c r="H29" t="s">
        <v>2789</v>
      </c>
      <c r="I29" t="s">
        <v>14</v>
      </c>
      <c r="J29" t="s">
        <v>17</v>
      </c>
      <c r="K29" t="s">
        <v>16</v>
      </c>
      <c r="L29" t="s">
        <v>558</v>
      </c>
      <c r="M29" t="s">
        <v>559</v>
      </c>
      <c r="N29" t="s">
        <v>560</v>
      </c>
    </row>
    <row r="30" spans="1:14">
      <c r="A30" t="s">
        <v>561</v>
      </c>
      <c r="B30" t="s">
        <v>555</v>
      </c>
      <c r="C30" t="s">
        <v>562</v>
      </c>
      <c r="D30" t="s">
        <v>26</v>
      </c>
      <c r="E30">
        <v>12991726007</v>
      </c>
      <c r="F30" s="4">
        <v>55</v>
      </c>
      <c r="G30" s="4" t="str">
        <f t="shared" si="0"/>
        <v>5512991726007</v>
      </c>
      <c r="H30" t="s">
        <v>2789</v>
      </c>
      <c r="I30" t="s">
        <v>14</v>
      </c>
      <c r="J30" t="s">
        <v>19</v>
      </c>
      <c r="K30" t="s">
        <v>16</v>
      </c>
      <c r="L30" t="s">
        <v>563</v>
      </c>
      <c r="M30" t="s">
        <v>564</v>
      </c>
      <c r="N30" t="s">
        <v>565</v>
      </c>
    </row>
    <row r="31" spans="1:14">
      <c r="A31" t="s">
        <v>566</v>
      </c>
      <c r="B31" t="s">
        <v>555</v>
      </c>
      <c r="C31" t="s">
        <v>567</v>
      </c>
      <c r="D31" t="s">
        <v>568</v>
      </c>
      <c r="E31">
        <v>31991731289</v>
      </c>
      <c r="F31" s="4">
        <v>55</v>
      </c>
      <c r="G31" s="4" t="str">
        <f t="shared" si="0"/>
        <v>5531991731289</v>
      </c>
      <c r="H31" t="s">
        <v>2780</v>
      </c>
      <c r="I31" t="s">
        <v>14</v>
      </c>
      <c r="J31" t="s">
        <v>17</v>
      </c>
      <c r="K31" t="s">
        <v>16</v>
      </c>
      <c r="L31" t="s">
        <v>569</v>
      </c>
      <c r="M31" t="s">
        <v>570</v>
      </c>
      <c r="N31" t="s">
        <v>571</v>
      </c>
    </row>
    <row r="32" spans="1:14">
      <c r="A32" t="s">
        <v>572</v>
      </c>
      <c r="B32" t="s">
        <v>555</v>
      </c>
      <c r="C32" t="s">
        <v>573</v>
      </c>
      <c r="D32" t="s">
        <v>54</v>
      </c>
      <c r="E32">
        <v>11982234577</v>
      </c>
      <c r="F32" s="4">
        <v>55</v>
      </c>
      <c r="G32" s="4" t="str">
        <f t="shared" si="0"/>
        <v>5511982234577</v>
      </c>
      <c r="H32" t="s">
        <v>2789</v>
      </c>
      <c r="I32" t="s">
        <v>14</v>
      </c>
      <c r="J32" t="s">
        <v>15</v>
      </c>
      <c r="K32" t="s">
        <v>16</v>
      </c>
      <c r="L32" t="s">
        <v>574</v>
      </c>
      <c r="M32" t="s">
        <v>575</v>
      </c>
      <c r="N32" t="s">
        <v>573</v>
      </c>
    </row>
    <row r="33" spans="1:14">
      <c r="A33" t="s">
        <v>576</v>
      </c>
      <c r="B33" t="s">
        <v>555</v>
      </c>
      <c r="C33" t="s">
        <v>577</v>
      </c>
      <c r="D33" t="s">
        <v>26</v>
      </c>
      <c r="E33">
        <v>12988301250</v>
      </c>
      <c r="F33" s="4">
        <v>55</v>
      </c>
      <c r="G33" s="4" t="str">
        <f t="shared" si="0"/>
        <v>5512988301250</v>
      </c>
      <c r="H33" t="s">
        <v>2789</v>
      </c>
      <c r="I33" t="s">
        <v>14</v>
      </c>
      <c r="J33" t="s">
        <v>19</v>
      </c>
      <c r="K33" t="s">
        <v>16</v>
      </c>
      <c r="L33" t="s">
        <v>578</v>
      </c>
      <c r="M33" t="s">
        <v>579</v>
      </c>
      <c r="N33" t="s">
        <v>580</v>
      </c>
    </row>
    <row r="34" spans="1:14">
      <c r="A34" t="s">
        <v>581</v>
      </c>
      <c r="B34" t="s">
        <v>555</v>
      </c>
      <c r="C34" t="s">
        <v>582</v>
      </c>
      <c r="D34" t="s">
        <v>26</v>
      </c>
      <c r="E34">
        <v>12991209254</v>
      </c>
      <c r="F34" s="4">
        <v>55</v>
      </c>
      <c r="G34" s="4" t="str">
        <f t="shared" si="0"/>
        <v>5512991209254</v>
      </c>
      <c r="H34" t="s">
        <v>2789</v>
      </c>
      <c r="I34" t="s">
        <v>14</v>
      </c>
      <c r="J34" t="s">
        <v>19</v>
      </c>
      <c r="K34" t="s">
        <v>16</v>
      </c>
      <c r="L34" t="s">
        <v>583</v>
      </c>
      <c r="M34" t="s">
        <v>584</v>
      </c>
      <c r="N34" t="s">
        <v>585</v>
      </c>
    </row>
    <row r="35" spans="1:14">
      <c r="A35" t="s">
        <v>586</v>
      </c>
      <c r="B35" t="s">
        <v>555</v>
      </c>
      <c r="C35" t="s">
        <v>587</v>
      </c>
      <c r="D35" t="s">
        <v>54</v>
      </c>
      <c r="E35">
        <v>11952377440</v>
      </c>
      <c r="F35" s="4">
        <v>55</v>
      </c>
      <c r="G35" s="4" t="str">
        <f t="shared" si="0"/>
        <v>5511952377440</v>
      </c>
      <c r="H35" t="s">
        <v>2789</v>
      </c>
      <c r="I35" t="s">
        <v>14</v>
      </c>
      <c r="J35" t="s">
        <v>15</v>
      </c>
      <c r="K35" t="s">
        <v>16</v>
      </c>
      <c r="L35" t="s">
        <v>588</v>
      </c>
      <c r="M35" t="s">
        <v>589</v>
      </c>
      <c r="N35" t="s">
        <v>590</v>
      </c>
    </row>
    <row r="36" spans="1:14">
      <c r="A36" t="s">
        <v>591</v>
      </c>
      <c r="B36" t="s">
        <v>555</v>
      </c>
      <c r="C36" t="s">
        <v>592</v>
      </c>
      <c r="D36" t="s">
        <v>593</v>
      </c>
      <c r="E36">
        <v>11946601631</v>
      </c>
      <c r="F36" s="4">
        <v>55</v>
      </c>
      <c r="G36" s="4" t="str">
        <f t="shared" si="0"/>
        <v>5511946601631</v>
      </c>
      <c r="H36" t="s">
        <v>2789</v>
      </c>
      <c r="I36" t="s">
        <v>14</v>
      </c>
      <c r="J36" t="s">
        <v>19</v>
      </c>
      <c r="K36" t="s">
        <v>16</v>
      </c>
      <c r="L36" t="s">
        <v>594</v>
      </c>
      <c r="M36" t="s">
        <v>595</v>
      </c>
      <c r="N36" t="s">
        <v>596</v>
      </c>
    </row>
    <row r="37" spans="1:14">
      <c r="A37" t="s">
        <v>597</v>
      </c>
      <c r="B37" t="s">
        <v>555</v>
      </c>
      <c r="C37" t="s">
        <v>598</v>
      </c>
      <c r="D37" t="s">
        <v>599</v>
      </c>
      <c r="E37">
        <v>31984857204</v>
      </c>
      <c r="F37" s="4">
        <v>55</v>
      </c>
      <c r="G37" s="4" t="str">
        <f t="shared" si="0"/>
        <v>5531984857204</v>
      </c>
      <c r="H37" t="s">
        <v>2789</v>
      </c>
      <c r="I37" t="s">
        <v>14</v>
      </c>
      <c r="J37" t="s">
        <v>17</v>
      </c>
      <c r="K37" t="s">
        <v>16</v>
      </c>
      <c r="L37" t="s">
        <v>600</v>
      </c>
      <c r="M37" t="s">
        <v>601</v>
      </c>
      <c r="N37" t="s">
        <v>602</v>
      </c>
    </row>
    <row r="38" spans="1:14">
      <c r="A38" t="s">
        <v>603</v>
      </c>
      <c r="B38" t="s">
        <v>555</v>
      </c>
      <c r="C38" t="s">
        <v>604</v>
      </c>
      <c r="D38" t="s">
        <v>605</v>
      </c>
      <c r="E38">
        <v>12997760065</v>
      </c>
      <c r="F38" s="4">
        <v>55</v>
      </c>
      <c r="G38" s="4" t="str">
        <f t="shared" si="0"/>
        <v>5512997760065</v>
      </c>
      <c r="H38" t="s">
        <v>2789</v>
      </c>
      <c r="I38" t="s">
        <v>14</v>
      </c>
      <c r="J38" t="s">
        <v>19</v>
      </c>
      <c r="K38" t="s">
        <v>16</v>
      </c>
      <c r="L38" t="s">
        <v>606</v>
      </c>
      <c r="M38" t="s">
        <v>607</v>
      </c>
      <c r="N38" t="s">
        <v>608</v>
      </c>
    </row>
    <row r="39" spans="1:14">
      <c r="A39" t="s">
        <v>609</v>
      </c>
      <c r="B39" t="s">
        <v>555</v>
      </c>
      <c r="C39" t="s">
        <v>610</v>
      </c>
      <c r="D39" t="s">
        <v>611</v>
      </c>
      <c r="E39">
        <v>31988366384</v>
      </c>
      <c r="F39" s="4">
        <v>55</v>
      </c>
      <c r="G39" s="4" t="str">
        <f t="shared" si="0"/>
        <v>5531988366384</v>
      </c>
      <c r="H39" t="s">
        <v>2789</v>
      </c>
      <c r="I39" t="s">
        <v>14</v>
      </c>
      <c r="J39" t="s">
        <v>17</v>
      </c>
      <c r="K39" t="s">
        <v>16</v>
      </c>
      <c r="L39" t="s">
        <v>612</v>
      </c>
      <c r="M39" t="s">
        <v>613</v>
      </c>
      <c r="N39" t="s">
        <v>614</v>
      </c>
    </row>
    <row r="40" spans="1:14">
      <c r="A40" t="s">
        <v>615</v>
      </c>
      <c r="B40" t="s">
        <v>555</v>
      </c>
      <c r="C40" t="s">
        <v>616</v>
      </c>
      <c r="D40" t="s">
        <v>617</v>
      </c>
      <c r="E40">
        <v>12991279045</v>
      </c>
      <c r="F40" s="4">
        <v>55</v>
      </c>
      <c r="G40" s="4" t="str">
        <f t="shared" si="0"/>
        <v>5512991279045</v>
      </c>
      <c r="H40" t="s">
        <v>2789</v>
      </c>
      <c r="I40" t="s">
        <v>14</v>
      </c>
      <c r="J40" t="s">
        <v>19</v>
      </c>
      <c r="K40" t="s">
        <v>16</v>
      </c>
      <c r="L40" t="s">
        <v>618</v>
      </c>
      <c r="M40" t="s">
        <v>619</v>
      </c>
      <c r="N40" t="s">
        <v>620</v>
      </c>
    </row>
    <row r="41" spans="1:14">
      <c r="A41" t="s">
        <v>621</v>
      </c>
      <c r="B41" t="s">
        <v>555</v>
      </c>
      <c r="C41" t="s">
        <v>622</v>
      </c>
      <c r="D41" t="s">
        <v>54</v>
      </c>
      <c r="E41">
        <v>11997706778</v>
      </c>
      <c r="F41" s="4">
        <v>55</v>
      </c>
      <c r="G41" s="4" t="str">
        <f t="shared" si="0"/>
        <v>5511997706778</v>
      </c>
      <c r="H41" t="s">
        <v>2789</v>
      </c>
      <c r="I41" t="s">
        <v>14</v>
      </c>
      <c r="J41" t="s">
        <v>15</v>
      </c>
      <c r="K41" t="s">
        <v>16</v>
      </c>
      <c r="L41" t="s">
        <v>623</v>
      </c>
      <c r="M41" t="s">
        <v>624</v>
      </c>
      <c r="N41" t="s">
        <v>625</v>
      </c>
    </row>
    <row r="42" spans="1:14">
      <c r="A42" t="s">
        <v>626</v>
      </c>
      <c r="B42" t="s">
        <v>555</v>
      </c>
      <c r="C42" t="s">
        <v>627</v>
      </c>
      <c r="D42" t="s">
        <v>628</v>
      </c>
      <c r="F42" s="4">
        <v>55</v>
      </c>
      <c r="G42" s="4" t="str">
        <f t="shared" si="0"/>
        <v>55</v>
      </c>
      <c r="H42" t="s">
        <v>2789</v>
      </c>
      <c r="I42" t="s">
        <v>14</v>
      </c>
      <c r="J42" t="s">
        <v>15</v>
      </c>
      <c r="K42" t="s">
        <v>16</v>
      </c>
      <c r="L42" t="s">
        <v>629</v>
      </c>
      <c r="M42" t="s">
        <v>630</v>
      </c>
      <c r="N42" t="s">
        <v>631</v>
      </c>
    </row>
    <row r="43" spans="1:14">
      <c r="A43" t="s">
        <v>632</v>
      </c>
      <c r="B43" t="s">
        <v>555</v>
      </c>
      <c r="C43" t="s">
        <v>633</v>
      </c>
      <c r="D43" t="s">
        <v>199</v>
      </c>
      <c r="E43">
        <v>12981647000</v>
      </c>
      <c r="F43" s="4">
        <v>55</v>
      </c>
      <c r="G43" s="4" t="str">
        <f t="shared" si="0"/>
        <v>5512981647000</v>
      </c>
      <c r="H43" t="s">
        <v>2789</v>
      </c>
      <c r="I43" t="s">
        <v>14</v>
      </c>
      <c r="J43" t="s">
        <v>19</v>
      </c>
      <c r="K43" t="s">
        <v>16</v>
      </c>
      <c r="L43" t="s">
        <v>634</v>
      </c>
      <c r="M43" t="s">
        <v>635</v>
      </c>
      <c r="N43" t="s">
        <v>636</v>
      </c>
    </row>
    <row r="44" spans="1:14">
      <c r="A44" t="s">
        <v>637</v>
      </c>
      <c r="B44" t="s">
        <v>555</v>
      </c>
      <c r="C44" t="s">
        <v>638</v>
      </c>
      <c r="D44" t="s">
        <v>97</v>
      </c>
      <c r="E44">
        <v>12991611677</v>
      </c>
      <c r="F44" s="4">
        <v>55</v>
      </c>
      <c r="G44" s="4" t="str">
        <f t="shared" si="0"/>
        <v>5512991611677</v>
      </c>
      <c r="H44" t="s">
        <v>2789</v>
      </c>
      <c r="I44" t="s">
        <v>14</v>
      </c>
      <c r="J44" t="s">
        <v>19</v>
      </c>
      <c r="K44" t="s">
        <v>16</v>
      </c>
      <c r="L44" t="s">
        <v>639</v>
      </c>
      <c r="M44" t="s">
        <v>640</v>
      </c>
      <c r="N44" t="s">
        <v>638</v>
      </c>
    </row>
    <row r="45" spans="1:14">
      <c r="A45" t="s">
        <v>641</v>
      </c>
      <c r="B45" t="s">
        <v>555</v>
      </c>
      <c r="C45" t="s">
        <v>642</v>
      </c>
      <c r="D45" t="s">
        <v>643</v>
      </c>
      <c r="E45">
        <v>12981637825</v>
      </c>
      <c r="F45" s="4">
        <v>55</v>
      </c>
      <c r="G45" s="4" t="str">
        <f t="shared" si="0"/>
        <v>5512981637825</v>
      </c>
      <c r="H45" t="s">
        <v>2780</v>
      </c>
      <c r="I45" t="s">
        <v>14</v>
      </c>
      <c r="J45" t="s">
        <v>19</v>
      </c>
      <c r="K45" t="s">
        <v>16</v>
      </c>
      <c r="L45" t="s">
        <v>644</v>
      </c>
      <c r="M45" t="s">
        <v>645</v>
      </c>
      <c r="N45" t="s">
        <v>646</v>
      </c>
    </row>
    <row r="46" spans="1:14">
      <c r="A46" t="s">
        <v>647</v>
      </c>
      <c r="B46" t="s">
        <v>648</v>
      </c>
      <c r="C46" t="s">
        <v>649</v>
      </c>
      <c r="D46" t="s">
        <v>650</v>
      </c>
      <c r="F46" s="4">
        <v>55</v>
      </c>
      <c r="G46" s="4" t="str">
        <f t="shared" si="0"/>
        <v>55</v>
      </c>
      <c r="H46" t="s">
        <v>2790</v>
      </c>
      <c r="I46" t="s">
        <v>14</v>
      </c>
      <c r="J46" t="s">
        <v>15</v>
      </c>
      <c r="K46" t="s">
        <v>16</v>
      </c>
      <c r="L46" t="s">
        <v>651</v>
      </c>
      <c r="M46" t="s">
        <v>652</v>
      </c>
      <c r="N46" t="s">
        <v>653</v>
      </c>
    </row>
    <row r="47" spans="1:14">
      <c r="A47" t="s">
        <v>654</v>
      </c>
      <c r="B47" t="s">
        <v>648</v>
      </c>
      <c r="C47" t="s">
        <v>655</v>
      </c>
      <c r="D47" t="s">
        <v>650</v>
      </c>
      <c r="F47" s="4">
        <v>55</v>
      </c>
      <c r="G47" s="4" t="str">
        <f t="shared" si="0"/>
        <v>55</v>
      </c>
      <c r="H47" t="s">
        <v>2790</v>
      </c>
      <c r="I47" t="s">
        <v>14</v>
      </c>
      <c r="J47" t="s">
        <v>15</v>
      </c>
      <c r="K47" t="s">
        <v>16</v>
      </c>
      <c r="L47" t="s">
        <v>656</v>
      </c>
      <c r="M47" t="s">
        <v>657</v>
      </c>
      <c r="N47" t="s">
        <v>658</v>
      </c>
    </row>
    <row r="48" spans="1:14">
      <c r="A48" t="s">
        <v>659</v>
      </c>
      <c r="B48" t="s">
        <v>648</v>
      </c>
      <c r="C48" t="s">
        <v>660</v>
      </c>
      <c r="D48" t="s">
        <v>661</v>
      </c>
      <c r="E48">
        <v>31997416615</v>
      </c>
      <c r="F48" s="4">
        <v>55</v>
      </c>
      <c r="G48" s="4" t="str">
        <f t="shared" si="0"/>
        <v>5531997416615</v>
      </c>
      <c r="H48" t="s">
        <v>2789</v>
      </c>
      <c r="I48" t="s">
        <v>14</v>
      </c>
      <c r="J48" t="s">
        <v>17</v>
      </c>
      <c r="K48" t="s">
        <v>16</v>
      </c>
      <c r="L48" t="s">
        <v>662</v>
      </c>
      <c r="M48" t="s">
        <v>663</v>
      </c>
      <c r="N48" t="s">
        <v>664</v>
      </c>
    </row>
    <row r="49" spans="1:14">
      <c r="A49" t="s">
        <v>665</v>
      </c>
      <c r="B49" t="s">
        <v>648</v>
      </c>
      <c r="C49" t="s">
        <v>666</v>
      </c>
      <c r="D49" t="s">
        <v>54</v>
      </c>
      <c r="E49">
        <v>11975276258</v>
      </c>
      <c r="F49" s="4">
        <v>55</v>
      </c>
      <c r="G49" s="4" t="str">
        <f t="shared" si="0"/>
        <v>5511975276258</v>
      </c>
      <c r="H49" t="s">
        <v>2789</v>
      </c>
      <c r="I49" t="s">
        <v>14</v>
      </c>
      <c r="J49" t="s">
        <v>15</v>
      </c>
      <c r="K49" t="s">
        <v>16</v>
      </c>
      <c r="L49" t="s">
        <v>667</v>
      </c>
      <c r="M49" t="s">
        <v>668</v>
      </c>
      <c r="N49" t="s">
        <v>669</v>
      </c>
    </row>
    <row r="50" spans="1:14">
      <c r="A50" t="s">
        <v>670</v>
      </c>
      <c r="B50" t="s">
        <v>648</v>
      </c>
      <c r="C50" t="s">
        <v>671</v>
      </c>
      <c r="D50" t="s">
        <v>672</v>
      </c>
      <c r="E50">
        <v>12991263792</v>
      </c>
      <c r="F50" s="4">
        <v>55</v>
      </c>
      <c r="G50" s="4" t="str">
        <f t="shared" si="0"/>
        <v>5512991263792</v>
      </c>
      <c r="H50" t="s">
        <v>2789</v>
      </c>
      <c r="I50" t="s">
        <v>14</v>
      </c>
      <c r="J50" t="s">
        <v>19</v>
      </c>
      <c r="K50" t="s">
        <v>16</v>
      </c>
      <c r="L50" t="s">
        <v>673</v>
      </c>
      <c r="M50" t="s">
        <v>674</v>
      </c>
      <c r="N50" t="s">
        <v>675</v>
      </c>
    </row>
    <row r="51" spans="1:14">
      <c r="A51" t="s">
        <v>676</v>
      </c>
      <c r="B51" t="s">
        <v>648</v>
      </c>
      <c r="C51" t="s">
        <v>72</v>
      </c>
      <c r="D51" t="s">
        <v>677</v>
      </c>
      <c r="E51">
        <v>11952086503</v>
      </c>
      <c r="F51" s="4">
        <v>55</v>
      </c>
      <c r="G51" s="4" t="str">
        <f t="shared" si="0"/>
        <v>5511952086503</v>
      </c>
      <c r="H51" t="s">
        <v>2789</v>
      </c>
      <c r="I51" t="s">
        <v>14</v>
      </c>
      <c r="J51" t="s">
        <v>15</v>
      </c>
      <c r="K51" t="s">
        <v>16</v>
      </c>
      <c r="L51" t="s">
        <v>73</v>
      </c>
      <c r="M51" t="s">
        <v>678</v>
      </c>
      <c r="N51" t="s">
        <v>679</v>
      </c>
    </row>
    <row r="52" spans="1:14">
      <c r="A52" t="s">
        <v>680</v>
      </c>
      <c r="B52" t="s">
        <v>648</v>
      </c>
      <c r="C52" t="s">
        <v>681</v>
      </c>
      <c r="D52" t="s">
        <v>42</v>
      </c>
      <c r="E52">
        <v>11965274123</v>
      </c>
      <c r="F52" s="4">
        <v>55</v>
      </c>
      <c r="G52" s="4" t="str">
        <f t="shared" si="0"/>
        <v>5511965274123</v>
      </c>
      <c r="H52" t="s">
        <v>2789</v>
      </c>
      <c r="I52" t="s">
        <v>14</v>
      </c>
      <c r="J52" t="s">
        <v>19</v>
      </c>
      <c r="K52" t="s">
        <v>16</v>
      </c>
      <c r="L52" t="s">
        <v>682</v>
      </c>
      <c r="M52" t="s">
        <v>683</v>
      </c>
      <c r="N52" t="s">
        <v>684</v>
      </c>
    </row>
    <row r="53" spans="1:14">
      <c r="A53" t="s">
        <v>685</v>
      </c>
      <c r="B53" t="s">
        <v>648</v>
      </c>
      <c r="C53" t="s">
        <v>686</v>
      </c>
      <c r="D53" t="s">
        <v>54</v>
      </c>
      <c r="E53">
        <v>11954634181</v>
      </c>
      <c r="F53" s="4">
        <v>55</v>
      </c>
      <c r="G53" s="4" t="str">
        <f t="shared" si="0"/>
        <v>5511954634181</v>
      </c>
      <c r="H53" t="s">
        <v>2789</v>
      </c>
      <c r="I53" t="s">
        <v>14</v>
      </c>
      <c r="J53" t="s">
        <v>15</v>
      </c>
      <c r="K53" t="s">
        <v>16</v>
      </c>
      <c r="L53" t="s">
        <v>687</v>
      </c>
      <c r="M53" t="s">
        <v>688</v>
      </c>
      <c r="N53" t="s">
        <v>689</v>
      </c>
    </row>
    <row r="54" spans="1:14">
      <c r="A54" t="s">
        <v>690</v>
      </c>
      <c r="B54" t="s">
        <v>648</v>
      </c>
      <c r="C54" t="s">
        <v>691</v>
      </c>
      <c r="D54" t="s">
        <v>54</v>
      </c>
      <c r="E54">
        <v>13996059400</v>
      </c>
      <c r="F54" s="4">
        <v>55</v>
      </c>
      <c r="G54" s="4" t="str">
        <f t="shared" si="0"/>
        <v>5513996059400</v>
      </c>
      <c r="H54" t="s">
        <v>2789</v>
      </c>
      <c r="I54" t="s">
        <v>14</v>
      </c>
      <c r="J54" t="s">
        <v>15</v>
      </c>
      <c r="K54" t="s">
        <v>16</v>
      </c>
      <c r="L54" t="s">
        <v>692</v>
      </c>
      <c r="M54" t="s">
        <v>693</v>
      </c>
      <c r="N54" t="s">
        <v>694</v>
      </c>
    </row>
    <row r="55" spans="1:14">
      <c r="A55" t="s">
        <v>695</v>
      </c>
      <c r="B55" t="s">
        <v>648</v>
      </c>
      <c r="C55" t="s">
        <v>696</v>
      </c>
      <c r="D55" t="s">
        <v>697</v>
      </c>
      <c r="E55">
        <v>12981821414</v>
      </c>
      <c r="F55" s="4">
        <v>55</v>
      </c>
      <c r="G55" s="4" t="str">
        <f t="shared" si="0"/>
        <v>5512981821414</v>
      </c>
      <c r="H55" t="s">
        <v>2781</v>
      </c>
      <c r="I55" t="s">
        <v>14</v>
      </c>
      <c r="J55" t="s">
        <v>19</v>
      </c>
      <c r="K55" t="s">
        <v>16</v>
      </c>
      <c r="L55" t="s">
        <v>698</v>
      </c>
      <c r="M55" t="s">
        <v>405</v>
      </c>
      <c r="N55" t="s">
        <v>405</v>
      </c>
    </row>
    <row r="56" spans="1:14">
      <c r="A56" t="s">
        <v>699</v>
      </c>
      <c r="B56" t="s">
        <v>648</v>
      </c>
      <c r="C56" t="s">
        <v>700</v>
      </c>
      <c r="D56" t="s">
        <v>54</v>
      </c>
      <c r="E56">
        <v>11940301101</v>
      </c>
      <c r="F56" s="4">
        <v>55</v>
      </c>
      <c r="G56" s="4" t="str">
        <f t="shared" si="0"/>
        <v>5511940301101</v>
      </c>
      <c r="H56" t="s">
        <v>2789</v>
      </c>
      <c r="I56" t="s">
        <v>14</v>
      </c>
      <c r="J56" t="s">
        <v>15</v>
      </c>
      <c r="K56" t="s">
        <v>16</v>
      </c>
      <c r="L56" t="s">
        <v>701</v>
      </c>
      <c r="M56" t="s">
        <v>702</v>
      </c>
      <c r="N56" t="s">
        <v>703</v>
      </c>
    </row>
    <row r="57" spans="1:14">
      <c r="A57" t="s">
        <v>704</v>
      </c>
      <c r="B57" t="s">
        <v>648</v>
      </c>
      <c r="C57" t="s">
        <v>705</v>
      </c>
      <c r="D57" t="s">
        <v>706</v>
      </c>
      <c r="E57">
        <v>31991915495</v>
      </c>
      <c r="F57" s="4">
        <v>55</v>
      </c>
      <c r="G57" s="4" t="str">
        <f t="shared" si="0"/>
        <v>5531991915495</v>
      </c>
      <c r="H57" t="s">
        <v>2789</v>
      </c>
      <c r="I57" t="s">
        <v>14</v>
      </c>
      <c r="J57" t="s">
        <v>17</v>
      </c>
      <c r="K57" t="s">
        <v>16</v>
      </c>
      <c r="L57" t="s">
        <v>707</v>
      </c>
      <c r="M57" t="s">
        <v>708</v>
      </c>
      <c r="N57" t="s">
        <v>709</v>
      </c>
    </row>
    <row r="58" spans="1:14">
      <c r="A58" t="s">
        <v>710</v>
      </c>
      <c r="B58" t="s">
        <v>648</v>
      </c>
      <c r="C58" t="s">
        <v>711</v>
      </c>
      <c r="D58" t="s">
        <v>54</v>
      </c>
      <c r="E58">
        <v>11999932357</v>
      </c>
      <c r="F58" s="4">
        <v>55</v>
      </c>
      <c r="G58" s="4" t="str">
        <f t="shared" si="0"/>
        <v>5511999932357</v>
      </c>
      <c r="H58" t="s">
        <v>2789</v>
      </c>
      <c r="I58" t="s">
        <v>14</v>
      </c>
      <c r="J58" t="s">
        <v>15</v>
      </c>
      <c r="K58" t="s">
        <v>16</v>
      </c>
      <c r="L58" t="s">
        <v>712</v>
      </c>
      <c r="M58" t="s">
        <v>713</v>
      </c>
      <c r="N58" t="s">
        <v>714</v>
      </c>
    </row>
    <row r="59" spans="1:14">
      <c r="A59" t="s">
        <v>715</v>
      </c>
      <c r="B59" t="s">
        <v>648</v>
      </c>
      <c r="C59" t="s">
        <v>716</v>
      </c>
      <c r="D59" t="s">
        <v>717</v>
      </c>
      <c r="E59">
        <v>31998567864</v>
      </c>
      <c r="F59" s="4">
        <v>55</v>
      </c>
      <c r="G59" s="4" t="str">
        <f t="shared" si="0"/>
        <v>5531998567864</v>
      </c>
      <c r="H59" t="s">
        <v>2789</v>
      </c>
      <c r="I59" t="s">
        <v>14</v>
      </c>
      <c r="J59" t="s">
        <v>17</v>
      </c>
      <c r="K59" t="s">
        <v>16</v>
      </c>
      <c r="L59" t="s">
        <v>718</v>
      </c>
      <c r="M59" t="s">
        <v>719</v>
      </c>
      <c r="N59" t="s">
        <v>720</v>
      </c>
    </row>
    <row r="60" spans="1:14">
      <c r="A60" t="s">
        <v>721</v>
      </c>
      <c r="B60" t="s">
        <v>648</v>
      </c>
      <c r="C60" t="s">
        <v>722</v>
      </c>
      <c r="D60" t="s">
        <v>723</v>
      </c>
      <c r="E60">
        <v>12982062550</v>
      </c>
      <c r="F60" s="4">
        <v>55</v>
      </c>
      <c r="G60" s="4" t="str">
        <f t="shared" si="0"/>
        <v>5512982062550</v>
      </c>
      <c r="H60" t="s">
        <v>2789</v>
      </c>
      <c r="I60" t="s">
        <v>14</v>
      </c>
      <c r="J60" t="s">
        <v>19</v>
      </c>
      <c r="K60" t="s">
        <v>16</v>
      </c>
      <c r="L60" t="s">
        <v>724</v>
      </c>
      <c r="M60" t="s">
        <v>725</v>
      </c>
      <c r="N60" t="s">
        <v>726</v>
      </c>
    </row>
    <row r="61" spans="1:14">
      <c r="A61" t="s">
        <v>727</v>
      </c>
      <c r="B61" t="s">
        <v>648</v>
      </c>
      <c r="C61" t="s">
        <v>728</v>
      </c>
      <c r="D61" t="s">
        <v>729</v>
      </c>
      <c r="E61">
        <v>1145132777</v>
      </c>
      <c r="F61" s="4">
        <v>55</v>
      </c>
      <c r="G61" s="4" t="str">
        <f t="shared" si="0"/>
        <v>551145132777</v>
      </c>
      <c r="H61" t="s">
        <v>2780</v>
      </c>
      <c r="I61" t="s">
        <v>14</v>
      </c>
      <c r="J61" t="s">
        <v>15</v>
      </c>
      <c r="K61" t="s">
        <v>16</v>
      </c>
      <c r="L61" t="s">
        <v>730</v>
      </c>
      <c r="M61" t="s">
        <v>731</v>
      </c>
      <c r="N61" t="s">
        <v>732</v>
      </c>
    </row>
    <row r="62" spans="1:14">
      <c r="A62" t="s">
        <v>733</v>
      </c>
      <c r="B62" t="s">
        <v>648</v>
      </c>
      <c r="C62" t="s">
        <v>734</v>
      </c>
      <c r="D62" t="s">
        <v>735</v>
      </c>
      <c r="E62">
        <v>12988318936</v>
      </c>
      <c r="F62" s="4">
        <v>55</v>
      </c>
      <c r="G62" s="4" t="str">
        <f t="shared" si="0"/>
        <v>5512988318936</v>
      </c>
      <c r="H62" t="s">
        <v>2789</v>
      </c>
      <c r="I62" t="s">
        <v>14</v>
      </c>
      <c r="J62" t="s">
        <v>19</v>
      </c>
      <c r="K62" t="s">
        <v>16</v>
      </c>
      <c r="L62" t="s">
        <v>736</v>
      </c>
      <c r="M62" t="s">
        <v>737</v>
      </c>
      <c r="N62" t="s">
        <v>738</v>
      </c>
    </row>
    <row r="63" spans="1:14">
      <c r="A63" t="s">
        <v>739</v>
      </c>
      <c r="B63" t="s">
        <v>648</v>
      </c>
      <c r="C63" t="s">
        <v>740</v>
      </c>
      <c r="D63" t="s">
        <v>51</v>
      </c>
      <c r="E63">
        <v>12991945344</v>
      </c>
      <c r="F63" s="4">
        <v>55</v>
      </c>
      <c r="G63" s="4" t="str">
        <f t="shared" si="0"/>
        <v>5512991945344</v>
      </c>
      <c r="H63" t="s">
        <v>2789</v>
      </c>
      <c r="I63" t="s">
        <v>14</v>
      </c>
      <c r="J63" t="s">
        <v>19</v>
      </c>
      <c r="K63" t="s">
        <v>16</v>
      </c>
      <c r="L63" t="s">
        <v>741</v>
      </c>
      <c r="M63" t="s">
        <v>742</v>
      </c>
      <c r="N63" t="s">
        <v>743</v>
      </c>
    </row>
    <row r="64" spans="1:14">
      <c r="A64" t="s">
        <v>744</v>
      </c>
      <c r="B64" t="s">
        <v>648</v>
      </c>
      <c r="C64" t="s">
        <v>745</v>
      </c>
      <c r="D64" t="s">
        <v>746</v>
      </c>
      <c r="E64">
        <v>12982628408</v>
      </c>
      <c r="F64" s="4">
        <v>55</v>
      </c>
      <c r="G64" s="4" t="str">
        <f t="shared" si="0"/>
        <v>5512982628408</v>
      </c>
      <c r="H64" t="s">
        <v>2780</v>
      </c>
      <c r="I64" t="s">
        <v>14</v>
      </c>
      <c r="J64" t="s">
        <v>19</v>
      </c>
      <c r="K64" t="s">
        <v>16</v>
      </c>
      <c r="L64" t="s">
        <v>747</v>
      </c>
      <c r="M64" t="s">
        <v>748</v>
      </c>
      <c r="N64" t="s">
        <v>749</v>
      </c>
    </row>
    <row r="65" spans="1:14">
      <c r="A65" t="s">
        <v>750</v>
      </c>
      <c r="B65" t="s">
        <v>648</v>
      </c>
      <c r="C65" t="s">
        <v>751</v>
      </c>
      <c r="D65" t="s">
        <v>752</v>
      </c>
      <c r="E65">
        <v>11997300790</v>
      </c>
      <c r="F65" s="4">
        <v>55</v>
      </c>
      <c r="G65" s="4" t="str">
        <f t="shared" si="0"/>
        <v>5511997300790</v>
      </c>
      <c r="H65" t="s">
        <v>2789</v>
      </c>
      <c r="I65" t="s">
        <v>14</v>
      </c>
      <c r="J65" t="s">
        <v>19</v>
      </c>
      <c r="K65" t="s">
        <v>16</v>
      </c>
      <c r="L65" t="s">
        <v>753</v>
      </c>
      <c r="M65" t="s">
        <v>754</v>
      </c>
      <c r="N65" t="s">
        <v>755</v>
      </c>
    </row>
    <row r="66" spans="1:14">
      <c r="A66" t="s">
        <v>756</v>
      </c>
      <c r="B66" t="s">
        <v>757</v>
      </c>
      <c r="C66" t="s">
        <v>758</v>
      </c>
      <c r="D66" t="s">
        <v>759</v>
      </c>
      <c r="E66">
        <v>11999946385</v>
      </c>
      <c r="F66" s="4">
        <v>55</v>
      </c>
      <c r="G66" s="4" t="str">
        <f t="shared" si="0"/>
        <v>5511999946385</v>
      </c>
      <c r="H66" t="s">
        <v>2786</v>
      </c>
      <c r="I66" t="s">
        <v>14</v>
      </c>
      <c r="J66" t="s">
        <v>18</v>
      </c>
      <c r="K66" t="s">
        <v>16</v>
      </c>
      <c r="L66" t="s">
        <v>760</v>
      </c>
      <c r="M66" t="s">
        <v>405</v>
      </c>
      <c r="N66" t="s">
        <v>405</v>
      </c>
    </row>
    <row r="67" spans="1:14">
      <c r="A67" t="s">
        <v>761</v>
      </c>
      <c r="B67" t="s">
        <v>757</v>
      </c>
      <c r="C67" t="s">
        <v>762</v>
      </c>
      <c r="D67" t="s">
        <v>763</v>
      </c>
      <c r="E67">
        <v>4333244428</v>
      </c>
      <c r="F67" s="4">
        <v>55</v>
      </c>
      <c r="G67" s="4" t="str">
        <f t="shared" ref="G67:G130" si="1">CONCATENATE(F67,E67)</f>
        <v>554333244428</v>
      </c>
      <c r="H67" t="s">
        <v>2786</v>
      </c>
      <c r="I67" t="s">
        <v>14</v>
      </c>
      <c r="J67" t="s">
        <v>20</v>
      </c>
      <c r="K67" t="s">
        <v>16</v>
      </c>
      <c r="L67" t="s">
        <v>764</v>
      </c>
      <c r="M67" t="s">
        <v>405</v>
      </c>
      <c r="N67" t="s">
        <v>405</v>
      </c>
    </row>
    <row r="68" spans="1:14">
      <c r="A68" t="s">
        <v>765</v>
      </c>
      <c r="B68" t="s">
        <v>757</v>
      </c>
      <c r="C68" t="s">
        <v>766</v>
      </c>
      <c r="D68" t="s">
        <v>767</v>
      </c>
      <c r="E68">
        <v>31991619288</v>
      </c>
      <c r="F68" s="4">
        <v>55</v>
      </c>
      <c r="G68" s="4" t="str">
        <f t="shared" si="1"/>
        <v>5531991619288</v>
      </c>
      <c r="H68" t="s">
        <v>2786</v>
      </c>
      <c r="I68" t="s">
        <v>14</v>
      </c>
      <c r="J68" t="s">
        <v>101</v>
      </c>
      <c r="K68" t="s">
        <v>16</v>
      </c>
      <c r="L68" t="s">
        <v>768</v>
      </c>
      <c r="M68" t="s">
        <v>405</v>
      </c>
      <c r="N68" t="s">
        <v>405</v>
      </c>
    </row>
    <row r="69" spans="1:14">
      <c r="A69" t="s">
        <v>769</v>
      </c>
      <c r="B69" t="s">
        <v>757</v>
      </c>
      <c r="C69" t="s">
        <v>770</v>
      </c>
      <c r="D69" t="s">
        <v>771</v>
      </c>
      <c r="E69">
        <v>12981885479</v>
      </c>
      <c r="F69" s="4">
        <v>55</v>
      </c>
      <c r="G69" s="4" t="str">
        <f t="shared" si="1"/>
        <v>5512981885479</v>
      </c>
      <c r="H69" t="s">
        <v>2787</v>
      </c>
      <c r="I69" t="s">
        <v>14</v>
      </c>
      <c r="J69" t="s">
        <v>129</v>
      </c>
      <c r="K69" t="s">
        <v>16</v>
      </c>
      <c r="L69" t="s">
        <v>772</v>
      </c>
      <c r="M69" t="s">
        <v>773</v>
      </c>
      <c r="N69" t="s">
        <v>774</v>
      </c>
    </row>
    <row r="70" spans="1:14">
      <c r="A70" t="s">
        <v>775</v>
      </c>
      <c r="B70" t="s">
        <v>757</v>
      </c>
      <c r="C70" t="s">
        <v>776</v>
      </c>
      <c r="D70" t="s">
        <v>777</v>
      </c>
      <c r="E70">
        <v>11984361211</v>
      </c>
      <c r="F70" s="4">
        <v>55</v>
      </c>
      <c r="G70" s="4" t="str">
        <f t="shared" si="1"/>
        <v>5511984361211</v>
      </c>
      <c r="H70" t="s">
        <v>2787</v>
      </c>
      <c r="I70" t="s">
        <v>14</v>
      </c>
      <c r="J70" t="s">
        <v>18</v>
      </c>
      <c r="K70" t="s">
        <v>16</v>
      </c>
      <c r="L70" t="s">
        <v>778</v>
      </c>
      <c r="M70" t="s">
        <v>779</v>
      </c>
      <c r="N70" t="s">
        <v>780</v>
      </c>
    </row>
    <row r="71" spans="1:14">
      <c r="A71" t="s">
        <v>781</v>
      </c>
      <c r="B71" t="s">
        <v>757</v>
      </c>
      <c r="C71" t="s">
        <v>782</v>
      </c>
      <c r="D71" t="s">
        <v>783</v>
      </c>
      <c r="E71">
        <v>12997637827</v>
      </c>
      <c r="F71" s="4">
        <v>55</v>
      </c>
      <c r="G71" s="4" t="str">
        <f t="shared" si="1"/>
        <v>5512997637827</v>
      </c>
      <c r="H71" t="s">
        <v>2789</v>
      </c>
      <c r="I71" t="s">
        <v>14</v>
      </c>
      <c r="J71" t="s">
        <v>19</v>
      </c>
      <c r="K71" t="s">
        <v>16</v>
      </c>
      <c r="L71" t="s">
        <v>784</v>
      </c>
      <c r="M71" t="s">
        <v>785</v>
      </c>
      <c r="N71" t="s">
        <v>786</v>
      </c>
    </row>
    <row r="72" spans="1:14">
      <c r="A72" t="s">
        <v>787</v>
      </c>
      <c r="B72" t="s">
        <v>757</v>
      </c>
      <c r="C72" t="s">
        <v>788</v>
      </c>
      <c r="D72" t="s">
        <v>789</v>
      </c>
      <c r="F72" s="4">
        <v>55</v>
      </c>
      <c r="G72" s="4" t="str">
        <f t="shared" si="1"/>
        <v>55</v>
      </c>
      <c r="H72" t="s">
        <v>2781</v>
      </c>
      <c r="I72" t="s">
        <v>14</v>
      </c>
      <c r="J72" t="s">
        <v>15</v>
      </c>
      <c r="K72" t="s">
        <v>16</v>
      </c>
      <c r="L72" t="s">
        <v>790</v>
      </c>
      <c r="M72" t="s">
        <v>405</v>
      </c>
      <c r="N72" t="s">
        <v>405</v>
      </c>
    </row>
    <row r="73" spans="1:14">
      <c r="A73" t="s">
        <v>791</v>
      </c>
      <c r="B73" t="s">
        <v>757</v>
      </c>
      <c r="C73" t="s">
        <v>792</v>
      </c>
      <c r="D73" t="s">
        <v>793</v>
      </c>
      <c r="E73">
        <v>12981307093</v>
      </c>
      <c r="F73" s="4">
        <v>55</v>
      </c>
      <c r="G73" s="4" t="str">
        <f t="shared" si="1"/>
        <v>5512981307093</v>
      </c>
      <c r="H73" t="s">
        <v>2780</v>
      </c>
      <c r="I73" t="s">
        <v>14</v>
      </c>
      <c r="J73" t="s">
        <v>19</v>
      </c>
      <c r="K73" t="s">
        <v>16</v>
      </c>
      <c r="L73" t="s">
        <v>794</v>
      </c>
      <c r="M73" t="s">
        <v>795</v>
      </c>
      <c r="N73" t="s">
        <v>796</v>
      </c>
    </row>
    <row r="74" spans="1:14">
      <c r="A74" t="s">
        <v>797</v>
      </c>
      <c r="B74" t="s">
        <v>757</v>
      </c>
      <c r="C74" t="s">
        <v>798</v>
      </c>
      <c r="D74" t="s">
        <v>799</v>
      </c>
      <c r="E74">
        <v>11985431044</v>
      </c>
      <c r="F74" s="4">
        <v>55</v>
      </c>
      <c r="G74" s="4" t="str">
        <f t="shared" si="1"/>
        <v>5511985431044</v>
      </c>
      <c r="H74" t="s">
        <v>2781</v>
      </c>
      <c r="I74" t="s">
        <v>14</v>
      </c>
      <c r="J74" t="s">
        <v>18</v>
      </c>
      <c r="K74" t="s">
        <v>16</v>
      </c>
      <c r="L74" t="s">
        <v>800</v>
      </c>
      <c r="M74" t="s">
        <v>405</v>
      </c>
      <c r="N74" t="s">
        <v>405</v>
      </c>
    </row>
    <row r="75" spans="1:14">
      <c r="A75" t="s">
        <v>801</v>
      </c>
      <c r="B75" t="s">
        <v>757</v>
      </c>
      <c r="C75" t="s">
        <v>802</v>
      </c>
      <c r="D75" t="s">
        <v>803</v>
      </c>
      <c r="F75" s="4">
        <v>55</v>
      </c>
      <c r="G75" s="4" t="str">
        <f t="shared" si="1"/>
        <v>55</v>
      </c>
      <c r="H75" t="s">
        <v>2781</v>
      </c>
      <c r="I75" t="s">
        <v>14</v>
      </c>
      <c r="J75" t="s">
        <v>15</v>
      </c>
      <c r="K75" t="s">
        <v>16</v>
      </c>
      <c r="L75" t="s">
        <v>804</v>
      </c>
      <c r="M75" t="s">
        <v>405</v>
      </c>
      <c r="N75" t="s">
        <v>405</v>
      </c>
    </row>
    <row r="76" spans="1:14">
      <c r="A76" t="s">
        <v>805</v>
      </c>
      <c r="B76" t="s">
        <v>757</v>
      </c>
      <c r="C76" t="s">
        <v>806</v>
      </c>
      <c r="D76" t="s">
        <v>807</v>
      </c>
      <c r="E76">
        <v>12991080126</v>
      </c>
      <c r="F76" s="4">
        <v>55</v>
      </c>
      <c r="G76" s="4" t="str">
        <f t="shared" si="1"/>
        <v>5512991080126</v>
      </c>
      <c r="H76" t="s">
        <v>2781</v>
      </c>
      <c r="I76" t="s">
        <v>14</v>
      </c>
      <c r="J76" t="s">
        <v>19</v>
      </c>
      <c r="K76" t="s">
        <v>16</v>
      </c>
      <c r="L76" t="s">
        <v>808</v>
      </c>
      <c r="M76" t="s">
        <v>405</v>
      </c>
      <c r="N76" t="s">
        <v>405</v>
      </c>
    </row>
    <row r="77" spans="1:14">
      <c r="A77" t="s">
        <v>809</v>
      </c>
      <c r="B77" t="s">
        <v>757</v>
      </c>
      <c r="C77" t="s">
        <v>810</v>
      </c>
      <c r="D77" t="s">
        <v>811</v>
      </c>
      <c r="E77">
        <v>12991147446</v>
      </c>
      <c r="F77" s="4">
        <v>55</v>
      </c>
      <c r="G77" s="4" t="str">
        <f t="shared" si="1"/>
        <v>5512991147446</v>
      </c>
      <c r="H77" t="s">
        <v>2780</v>
      </c>
      <c r="I77" t="s">
        <v>14</v>
      </c>
      <c r="J77" t="s">
        <v>19</v>
      </c>
      <c r="K77" t="s">
        <v>16</v>
      </c>
      <c r="L77" t="s">
        <v>812</v>
      </c>
      <c r="M77" t="s">
        <v>813</v>
      </c>
      <c r="N77" t="s">
        <v>814</v>
      </c>
    </row>
    <row r="78" spans="1:14">
      <c r="A78" t="s">
        <v>815</v>
      </c>
      <c r="B78" t="s">
        <v>757</v>
      </c>
      <c r="C78" t="s">
        <v>816</v>
      </c>
      <c r="D78" t="s">
        <v>42</v>
      </c>
      <c r="E78">
        <v>11943385851</v>
      </c>
      <c r="F78" s="4">
        <v>55</v>
      </c>
      <c r="G78" s="4" t="str">
        <f t="shared" si="1"/>
        <v>5511943385851</v>
      </c>
      <c r="H78" t="s">
        <v>2789</v>
      </c>
      <c r="I78" t="s">
        <v>14</v>
      </c>
      <c r="J78" t="s">
        <v>19</v>
      </c>
      <c r="K78" t="s">
        <v>16</v>
      </c>
      <c r="L78" t="s">
        <v>817</v>
      </c>
      <c r="M78" t="s">
        <v>818</v>
      </c>
      <c r="N78" t="s">
        <v>819</v>
      </c>
    </row>
    <row r="79" spans="1:14">
      <c r="A79" t="s">
        <v>820</v>
      </c>
      <c r="B79" t="s">
        <v>757</v>
      </c>
      <c r="C79" t="s">
        <v>821</v>
      </c>
      <c r="D79" t="s">
        <v>822</v>
      </c>
      <c r="E79">
        <v>12996128882</v>
      </c>
      <c r="F79" s="4">
        <v>55</v>
      </c>
      <c r="G79" s="4" t="str">
        <f t="shared" si="1"/>
        <v>5512996128882</v>
      </c>
      <c r="H79" t="s">
        <v>2780</v>
      </c>
      <c r="I79" t="s">
        <v>14</v>
      </c>
      <c r="J79" t="s">
        <v>19</v>
      </c>
      <c r="K79" t="s">
        <v>16</v>
      </c>
      <c r="L79" t="s">
        <v>823</v>
      </c>
      <c r="M79" t="s">
        <v>824</v>
      </c>
      <c r="N79" t="s">
        <v>825</v>
      </c>
    </row>
    <row r="80" spans="1:14">
      <c r="A80" t="s">
        <v>826</v>
      </c>
      <c r="B80" t="s">
        <v>757</v>
      </c>
      <c r="C80" t="s">
        <v>827</v>
      </c>
      <c r="D80" t="s">
        <v>828</v>
      </c>
      <c r="F80" s="4">
        <v>55</v>
      </c>
      <c r="G80" s="4" t="str">
        <f t="shared" si="1"/>
        <v>55</v>
      </c>
      <c r="H80" t="s">
        <v>2781</v>
      </c>
      <c r="I80" t="s">
        <v>14</v>
      </c>
      <c r="J80" t="s">
        <v>15</v>
      </c>
      <c r="K80" t="s">
        <v>16</v>
      </c>
      <c r="L80" t="s">
        <v>829</v>
      </c>
      <c r="M80" t="s">
        <v>405</v>
      </c>
      <c r="N80" t="s">
        <v>405</v>
      </c>
    </row>
    <row r="81" spans="1:14">
      <c r="A81" t="s">
        <v>830</v>
      </c>
      <c r="B81" t="s">
        <v>757</v>
      </c>
      <c r="C81" t="s">
        <v>831</v>
      </c>
      <c r="D81" t="s">
        <v>828</v>
      </c>
      <c r="F81" s="4">
        <v>55</v>
      </c>
      <c r="G81" s="4" t="str">
        <f t="shared" si="1"/>
        <v>55</v>
      </c>
      <c r="H81" t="s">
        <v>2781</v>
      </c>
      <c r="I81" t="s">
        <v>14</v>
      </c>
      <c r="J81" t="s">
        <v>15</v>
      </c>
      <c r="K81" t="s">
        <v>16</v>
      </c>
      <c r="L81" t="s">
        <v>832</v>
      </c>
      <c r="M81" t="s">
        <v>405</v>
      </c>
      <c r="N81" t="s">
        <v>405</v>
      </c>
    </row>
    <row r="82" spans="1:14">
      <c r="A82" t="s">
        <v>833</v>
      </c>
      <c r="B82" t="s">
        <v>757</v>
      </c>
      <c r="C82" t="s">
        <v>834</v>
      </c>
      <c r="D82" t="s">
        <v>835</v>
      </c>
      <c r="F82" s="4">
        <v>55</v>
      </c>
      <c r="G82" s="4" t="str">
        <f t="shared" si="1"/>
        <v>55</v>
      </c>
      <c r="H82" t="s">
        <v>2781</v>
      </c>
      <c r="I82" t="s">
        <v>14</v>
      </c>
      <c r="J82" t="s">
        <v>15</v>
      </c>
      <c r="K82" t="s">
        <v>16</v>
      </c>
      <c r="L82" t="s">
        <v>836</v>
      </c>
      <c r="M82" t="s">
        <v>405</v>
      </c>
      <c r="N82" t="s">
        <v>405</v>
      </c>
    </row>
    <row r="83" spans="1:14">
      <c r="A83" t="s">
        <v>837</v>
      </c>
      <c r="B83" t="s">
        <v>757</v>
      </c>
      <c r="C83" t="s">
        <v>838</v>
      </c>
      <c r="D83" t="s">
        <v>839</v>
      </c>
      <c r="E83">
        <v>11988430325</v>
      </c>
      <c r="F83" s="4">
        <v>55</v>
      </c>
      <c r="G83" s="4" t="str">
        <f t="shared" si="1"/>
        <v>5511988430325</v>
      </c>
      <c r="H83" t="s">
        <v>2780</v>
      </c>
      <c r="I83" t="s">
        <v>14</v>
      </c>
      <c r="J83" t="s">
        <v>15</v>
      </c>
      <c r="K83" t="s">
        <v>16</v>
      </c>
      <c r="L83" t="s">
        <v>840</v>
      </c>
      <c r="M83" t="s">
        <v>841</v>
      </c>
      <c r="N83" t="s">
        <v>842</v>
      </c>
    </row>
    <row r="84" spans="1:14">
      <c r="A84" t="s">
        <v>843</v>
      </c>
      <c r="B84" t="s">
        <v>757</v>
      </c>
      <c r="C84" t="s">
        <v>844</v>
      </c>
      <c r="D84" t="s">
        <v>845</v>
      </c>
      <c r="E84">
        <v>12997076028</v>
      </c>
      <c r="F84" s="4">
        <v>55</v>
      </c>
      <c r="G84" s="4" t="str">
        <f t="shared" si="1"/>
        <v>5512997076028</v>
      </c>
      <c r="H84" t="s">
        <v>2789</v>
      </c>
      <c r="I84" t="s">
        <v>14</v>
      </c>
      <c r="J84" t="s">
        <v>19</v>
      </c>
      <c r="K84" t="s">
        <v>16</v>
      </c>
      <c r="L84" t="s">
        <v>846</v>
      </c>
      <c r="M84" t="s">
        <v>847</v>
      </c>
      <c r="N84" t="s">
        <v>848</v>
      </c>
    </row>
    <row r="85" spans="1:14">
      <c r="A85" t="s">
        <v>849</v>
      </c>
      <c r="B85" t="s">
        <v>757</v>
      </c>
      <c r="C85" t="s">
        <v>850</v>
      </c>
      <c r="D85" t="s">
        <v>851</v>
      </c>
      <c r="E85">
        <v>12996642395</v>
      </c>
      <c r="F85" s="4">
        <v>55</v>
      </c>
      <c r="G85" s="4" t="str">
        <f t="shared" si="1"/>
        <v>5512996642395</v>
      </c>
      <c r="H85" t="s">
        <v>2789</v>
      </c>
      <c r="I85" t="s">
        <v>14</v>
      </c>
      <c r="J85" t="s">
        <v>19</v>
      </c>
      <c r="K85" t="s">
        <v>16</v>
      </c>
      <c r="L85" t="s">
        <v>852</v>
      </c>
      <c r="M85" t="s">
        <v>853</v>
      </c>
      <c r="N85" t="s">
        <v>854</v>
      </c>
    </row>
    <row r="86" spans="1:14">
      <c r="A86" t="s">
        <v>855</v>
      </c>
      <c r="B86" t="s">
        <v>856</v>
      </c>
      <c r="C86" t="s">
        <v>857</v>
      </c>
      <c r="D86" t="s">
        <v>858</v>
      </c>
      <c r="E86">
        <v>35988980854</v>
      </c>
      <c r="F86" s="4">
        <v>55</v>
      </c>
      <c r="G86" s="4" t="str">
        <f t="shared" si="1"/>
        <v>5535988980854</v>
      </c>
      <c r="H86" t="s">
        <v>2786</v>
      </c>
      <c r="I86" t="s">
        <v>14</v>
      </c>
      <c r="J86" t="s">
        <v>383</v>
      </c>
      <c r="K86" t="s">
        <v>16</v>
      </c>
      <c r="L86" t="s">
        <v>859</v>
      </c>
      <c r="M86" t="s">
        <v>405</v>
      </c>
      <c r="N86" t="s">
        <v>405</v>
      </c>
    </row>
    <row r="87" spans="1:14">
      <c r="A87" t="s">
        <v>860</v>
      </c>
      <c r="B87" t="s">
        <v>856</v>
      </c>
      <c r="C87" t="s">
        <v>861</v>
      </c>
      <c r="D87" t="s">
        <v>862</v>
      </c>
      <c r="E87">
        <v>12981120556</v>
      </c>
      <c r="F87" s="4">
        <v>55</v>
      </c>
      <c r="G87" s="4" t="str">
        <f t="shared" si="1"/>
        <v>5512981120556</v>
      </c>
      <c r="H87" t="s">
        <v>2787</v>
      </c>
      <c r="I87" t="s">
        <v>14</v>
      </c>
      <c r="J87" t="s">
        <v>19</v>
      </c>
      <c r="K87" t="s">
        <v>16</v>
      </c>
      <c r="L87" t="s">
        <v>863</v>
      </c>
      <c r="M87" t="s">
        <v>864</v>
      </c>
      <c r="N87" t="s">
        <v>865</v>
      </c>
    </row>
    <row r="88" spans="1:14">
      <c r="A88" t="s">
        <v>866</v>
      </c>
      <c r="B88" t="s">
        <v>856</v>
      </c>
      <c r="C88" t="s">
        <v>867</v>
      </c>
      <c r="D88" t="s">
        <v>868</v>
      </c>
      <c r="E88">
        <v>31999792375</v>
      </c>
      <c r="F88" s="4">
        <v>55</v>
      </c>
      <c r="G88" s="4" t="str">
        <f t="shared" si="1"/>
        <v>5531999792375</v>
      </c>
      <c r="H88" t="s">
        <v>2786</v>
      </c>
      <c r="I88" t="s">
        <v>14</v>
      </c>
      <c r="J88" t="s">
        <v>17</v>
      </c>
      <c r="K88" t="s">
        <v>16</v>
      </c>
      <c r="L88" t="s">
        <v>869</v>
      </c>
      <c r="M88" t="s">
        <v>405</v>
      </c>
      <c r="N88" t="s">
        <v>405</v>
      </c>
    </row>
    <row r="89" spans="1:14">
      <c r="A89" t="s">
        <v>870</v>
      </c>
      <c r="B89" t="s">
        <v>856</v>
      </c>
      <c r="C89" t="s">
        <v>871</v>
      </c>
      <c r="D89" t="s">
        <v>872</v>
      </c>
      <c r="E89">
        <v>31993435315</v>
      </c>
      <c r="F89" s="4">
        <v>55</v>
      </c>
      <c r="G89" s="4" t="str">
        <f t="shared" si="1"/>
        <v>5531993435315</v>
      </c>
      <c r="H89" t="s">
        <v>2787</v>
      </c>
      <c r="I89" t="s">
        <v>14</v>
      </c>
      <c r="J89" t="s">
        <v>17</v>
      </c>
      <c r="K89" t="s">
        <v>16</v>
      </c>
      <c r="L89" t="s">
        <v>873</v>
      </c>
      <c r="M89" t="s">
        <v>874</v>
      </c>
      <c r="N89" t="s">
        <v>875</v>
      </c>
    </row>
    <row r="90" spans="1:14">
      <c r="A90" t="s">
        <v>876</v>
      </c>
      <c r="B90" t="s">
        <v>856</v>
      </c>
      <c r="C90" t="s">
        <v>877</v>
      </c>
      <c r="D90" t="s">
        <v>878</v>
      </c>
      <c r="F90" s="4">
        <v>55</v>
      </c>
      <c r="G90" s="4" t="str">
        <f t="shared" si="1"/>
        <v>55</v>
      </c>
      <c r="H90" t="s">
        <v>2786</v>
      </c>
      <c r="I90" t="s">
        <v>14</v>
      </c>
      <c r="J90" t="s">
        <v>15</v>
      </c>
      <c r="K90" t="s">
        <v>16</v>
      </c>
      <c r="L90" t="s">
        <v>879</v>
      </c>
      <c r="M90" t="s">
        <v>405</v>
      </c>
      <c r="N90" t="s">
        <v>405</v>
      </c>
    </row>
    <row r="91" spans="1:14">
      <c r="A91" t="s">
        <v>880</v>
      </c>
      <c r="B91" t="s">
        <v>856</v>
      </c>
      <c r="C91" t="s">
        <v>881</v>
      </c>
      <c r="D91" t="s">
        <v>882</v>
      </c>
      <c r="E91">
        <v>31997187081</v>
      </c>
      <c r="F91" s="4">
        <v>55</v>
      </c>
      <c r="G91" s="4" t="str">
        <f t="shared" si="1"/>
        <v>5531997187081</v>
      </c>
      <c r="H91" t="s">
        <v>2786</v>
      </c>
      <c r="I91" t="s">
        <v>14</v>
      </c>
      <c r="J91" t="s">
        <v>17</v>
      </c>
      <c r="K91" t="s">
        <v>16</v>
      </c>
      <c r="L91" t="s">
        <v>883</v>
      </c>
      <c r="M91" t="s">
        <v>405</v>
      </c>
      <c r="N91" t="s">
        <v>405</v>
      </c>
    </row>
    <row r="92" spans="1:14">
      <c r="A92" t="s">
        <v>884</v>
      </c>
      <c r="B92" t="s">
        <v>856</v>
      </c>
      <c r="C92" t="s">
        <v>885</v>
      </c>
      <c r="D92" t="s">
        <v>886</v>
      </c>
      <c r="E92">
        <v>31983652910</v>
      </c>
      <c r="F92" s="4">
        <v>55</v>
      </c>
      <c r="G92" s="4" t="str">
        <f t="shared" si="1"/>
        <v>5531983652910</v>
      </c>
      <c r="H92" t="s">
        <v>2786</v>
      </c>
      <c r="I92" t="s">
        <v>14</v>
      </c>
      <c r="J92" t="s">
        <v>17</v>
      </c>
      <c r="K92" t="s">
        <v>16</v>
      </c>
      <c r="L92" t="s">
        <v>887</v>
      </c>
      <c r="M92" t="s">
        <v>405</v>
      </c>
      <c r="N92" t="s">
        <v>405</v>
      </c>
    </row>
    <row r="93" spans="1:14">
      <c r="A93" t="s">
        <v>888</v>
      </c>
      <c r="B93" t="s">
        <v>856</v>
      </c>
      <c r="C93" t="s">
        <v>889</v>
      </c>
      <c r="D93" t="s">
        <v>890</v>
      </c>
      <c r="E93">
        <v>11996632478</v>
      </c>
      <c r="F93" s="4">
        <v>55</v>
      </c>
      <c r="G93" s="4" t="str">
        <f t="shared" si="1"/>
        <v>5511996632478</v>
      </c>
      <c r="H93" t="s">
        <v>2787</v>
      </c>
      <c r="I93" t="s">
        <v>14</v>
      </c>
      <c r="J93" t="s">
        <v>18</v>
      </c>
      <c r="K93" t="s">
        <v>16</v>
      </c>
      <c r="L93" t="s">
        <v>891</v>
      </c>
      <c r="M93" t="s">
        <v>892</v>
      </c>
      <c r="N93" t="s">
        <v>893</v>
      </c>
    </row>
    <row r="94" spans="1:14">
      <c r="A94" t="s">
        <v>894</v>
      </c>
      <c r="B94" t="s">
        <v>856</v>
      </c>
      <c r="C94" t="s">
        <v>895</v>
      </c>
      <c r="D94" t="s">
        <v>896</v>
      </c>
      <c r="E94">
        <v>31975813506</v>
      </c>
      <c r="F94" s="4">
        <v>55</v>
      </c>
      <c r="G94" s="4" t="str">
        <f t="shared" si="1"/>
        <v>5531975813506</v>
      </c>
      <c r="H94" t="s">
        <v>2781</v>
      </c>
      <c r="I94" t="s">
        <v>14</v>
      </c>
      <c r="J94" t="s">
        <v>17</v>
      </c>
      <c r="K94" t="s">
        <v>16</v>
      </c>
      <c r="L94" t="s">
        <v>897</v>
      </c>
      <c r="M94" t="s">
        <v>405</v>
      </c>
      <c r="N94" t="s">
        <v>405</v>
      </c>
    </row>
    <row r="95" spans="1:14">
      <c r="A95" t="s">
        <v>898</v>
      </c>
      <c r="B95" t="s">
        <v>856</v>
      </c>
      <c r="C95" t="s">
        <v>899</v>
      </c>
      <c r="D95" t="s">
        <v>900</v>
      </c>
      <c r="E95">
        <v>12996800176</v>
      </c>
      <c r="F95" s="4">
        <v>55</v>
      </c>
      <c r="G95" s="4" t="str">
        <f t="shared" si="1"/>
        <v>5512996800176</v>
      </c>
      <c r="H95" t="s">
        <v>2781</v>
      </c>
      <c r="I95" t="s">
        <v>14</v>
      </c>
      <c r="J95" t="s">
        <v>19</v>
      </c>
      <c r="K95" t="s">
        <v>16</v>
      </c>
      <c r="L95" t="s">
        <v>901</v>
      </c>
      <c r="M95" t="s">
        <v>405</v>
      </c>
      <c r="N95" t="s">
        <v>405</v>
      </c>
    </row>
    <row r="96" spans="1:14">
      <c r="A96" t="s">
        <v>902</v>
      </c>
      <c r="B96" t="s">
        <v>856</v>
      </c>
      <c r="C96" t="s">
        <v>903</v>
      </c>
      <c r="D96" t="s">
        <v>106</v>
      </c>
      <c r="E96">
        <v>12997522141</v>
      </c>
      <c r="F96" s="4">
        <v>55</v>
      </c>
      <c r="G96" s="4" t="str">
        <f t="shared" si="1"/>
        <v>5512997522141</v>
      </c>
      <c r="H96" t="s">
        <v>2780</v>
      </c>
      <c r="I96" t="s">
        <v>14</v>
      </c>
      <c r="J96" t="s">
        <v>19</v>
      </c>
      <c r="K96" t="s">
        <v>16</v>
      </c>
      <c r="L96" t="s">
        <v>904</v>
      </c>
      <c r="M96" t="s">
        <v>905</v>
      </c>
      <c r="N96" t="s">
        <v>906</v>
      </c>
    </row>
    <row r="97" spans="1:14">
      <c r="A97" t="s">
        <v>907</v>
      </c>
      <c r="B97" t="s">
        <v>856</v>
      </c>
      <c r="C97" t="s">
        <v>908</v>
      </c>
      <c r="D97" t="s">
        <v>26</v>
      </c>
      <c r="E97">
        <v>12981412129</v>
      </c>
      <c r="F97" s="4">
        <v>55</v>
      </c>
      <c r="G97" s="4" t="str">
        <f t="shared" si="1"/>
        <v>5512981412129</v>
      </c>
      <c r="H97" t="s">
        <v>2789</v>
      </c>
      <c r="I97" t="s">
        <v>14</v>
      </c>
      <c r="J97" t="s">
        <v>19</v>
      </c>
      <c r="K97" t="s">
        <v>16</v>
      </c>
      <c r="L97" t="s">
        <v>909</v>
      </c>
      <c r="M97" t="s">
        <v>910</v>
      </c>
      <c r="N97" t="s">
        <v>911</v>
      </c>
    </row>
    <row r="98" spans="1:14">
      <c r="A98" t="s">
        <v>912</v>
      </c>
      <c r="B98" t="s">
        <v>856</v>
      </c>
      <c r="C98" t="s">
        <v>913</v>
      </c>
      <c r="D98" t="s">
        <v>54</v>
      </c>
      <c r="E98">
        <v>11959897067</v>
      </c>
      <c r="F98" s="4">
        <v>55</v>
      </c>
      <c r="G98" s="4" t="str">
        <f t="shared" si="1"/>
        <v>5511959897067</v>
      </c>
      <c r="H98" t="s">
        <v>2789</v>
      </c>
      <c r="I98" t="s">
        <v>14</v>
      </c>
      <c r="J98" t="s">
        <v>15</v>
      </c>
      <c r="K98" t="s">
        <v>16</v>
      </c>
      <c r="L98" t="s">
        <v>914</v>
      </c>
      <c r="M98" t="s">
        <v>915</v>
      </c>
      <c r="N98" t="s">
        <v>916</v>
      </c>
    </row>
    <row r="99" spans="1:14">
      <c r="A99" t="s">
        <v>917</v>
      </c>
      <c r="B99" t="s">
        <v>856</v>
      </c>
      <c r="C99" t="s">
        <v>918</v>
      </c>
      <c r="D99" t="s">
        <v>919</v>
      </c>
      <c r="E99">
        <v>12988841923</v>
      </c>
      <c r="F99" s="4">
        <v>55</v>
      </c>
      <c r="G99" s="4" t="str">
        <f t="shared" si="1"/>
        <v>5512988841923</v>
      </c>
      <c r="H99" t="s">
        <v>2789</v>
      </c>
      <c r="I99" t="s">
        <v>14</v>
      </c>
      <c r="J99" t="s">
        <v>19</v>
      </c>
      <c r="K99" t="s">
        <v>16</v>
      </c>
      <c r="L99" t="s">
        <v>920</v>
      </c>
      <c r="M99" t="s">
        <v>921</v>
      </c>
      <c r="N99" t="s">
        <v>922</v>
      </c>
    </row>
    <row r="100" spans="1:14">
      <c r="A100" t="s">
        <v>923</v>
      </c>
      <c r="B100" t="s">
        <v>856</v>
      </c>
      <c r="C100" t="s">
        <v>924</v>
      </c>
      <c r="D100" t="s">
        <v>925</v>
      </c>
      <c r="E100">
        <v>12992326082</v>
      </c>
      <c r="F100" s="4">
        <v>55</v>
      </c>
      <c r="G100" s="4" t="str">
        <f t="shared" si="1"/>
        <v>5512992326082</v>
      </c>
      <c r="H100" t="s">
        <v>2781</v>
      </c>
      <c r="I100" t="s">
        <v>14</v>
      </c>
      <c r="J100" t="s">
        <v>17</v>
      </c>
      <c r="K100" t="s">
        <v>16</v>
      </c>
      <c r="L100" t="s">
        <v>926</v>
      </c>
      <c r="M100" t="s">
        <v>405</v>
      </c>
      <c r="N100" t="s">
        <v>405</v>
      </c>
    </row>
    <row r="101" spans="1:14">
      <c r="A101" t="s">
        <v>927</v>
      </c>
      <c r="B101" t="s">
        <v>856</v>
      </c>
      <c r="C101" t="s">
        <v>928</v>
      </c>
      <c r="D101" t="s">
        <v>929</v>
      </c>
      <c r="F101" s="4">
        <v>55</v>
      </c>
      <c r="G101" s="4" t="str">
        <f t="shared" si="1"/>
        <v>55</v>
      </c>
      <c r="H101" t="s">
        <v>2780</v>
      </c>
      <c r="I101" t="s">
        <v>14</v>
      </c>
      <c r="J101" t="s">
        <v>15</v>
      </c>
      <c r="K101" t="s">
        <v>16</v>
      </c>
      <c r="L101" t="s">
        <v>930</v>
      </c>
      <c r="M101" t="s">
        <v>931</v>
      </c>
      <c r="N101" t="s">
        <v>932</v>
      </c>
    </row>
    <row r="102" spans="1:14">
      <c r="A102" t="s">
        <v>933</v>
      </c>
      <c r="B102" t="s">
        <v>856</v>
      </c>
      <c r="C102" t="s">
        <v>409</v>
      </c>
      <c r="D102" t="s">
        <v>410</v>
      </c>
      <c r="E102">
        <v>11972831542</v>
      </c>
      <c r="F102" s="4">
        <v>55</v>
      </c>
      <c r="G102" s="4" t="str">
        <f t="shared" si="1"/>
        <v>5511972831542</v>
      </c>
      <c r="H102" t="s">
        <v>2789</v>
      </c>
      <c r="I102" t="s">
        <v>14</v>
      </c>
      <c r="J102" t="s">
        <v>19</v>
      </c>
      <c r="K102" t="s">
        <v>16</v>
      </c>
      <c r="L102" t="s">
        <v>411</v>
      </c>
      <c r="M102" t="s">
        <v>934</v>
      </c>
      <c r="N102" t="s">
        <v>935</v>
      </c>
    </row>
    <row r="103" spans="1:14">
      <c r="A103" t="s">
        <v>936</v>
      </c>
      <c r="B103" t="s">
        <v>856</v>
      </c>
      <c r="C103" t="s">
        <v>937</v>
      </c>
      <c r="D103" t="s">
        <v>938</v>
      </c>
      <c r="E103">
        <v>11961851216</v>
      </c>
      <c r="F103" s="4">
        <v>55</v>
      </c>
      <c r="G103" s="4" t="str">
        <f t="shared" si="1"/>
        <v>5511961851216</v>
      </c>
      <c r="H103" t="s">
        <v>2780</v>
      </c>
      <c r="I103" t="s">
        <v>14</v>
      </c>
      <c r="J103" t="s">
        <v>15</v>
      </c>
      <c r="K103" t="s">
        <v>16</v>
      </c>
      <c r="L103" t="s">
        <v>939</v>
      </c>
      <c r="M103" t="s">
        <v>940</v>
      </c>
      <c r="N103" t="s">
        <v>937</v>
      </c>
    </row>
    <row r="104" spans="1:14">
      <c r="A104" t="s">
        <v>941</v>
      </c>
      <c r="B104" t="s">
        <v>856</v>
      </c>
      <c r="C104" t="s">
        <v>942</v>
      </c>
      <c r="D104" t="s">
        <v>943</v>
      </c>
      <c r="E104">
        <v>12988681639</v>
      </c>
      <c r="F104" s="4">
        <v>55</v>
      </c>
      <c r="G104" s="4" t="str">
        <f t="shared" si="1"/>
        <v>5512988681639</v>
      </c>
      <c r="H104" t="s">
        <v>2780</v>
      </c>
      <c r="I104" t="s">
        <v>14</v>
      </c>
      <c r="J104" t="s">
        <v>19</v>
      </c>
      <c r="K104" t="s">
        <v>16</v>
      </c>
      <c r="L104" t="s">
        <v>944</v>
      </c>
      <c r="M104" t="s">
        <v>945</v>
      </c>
      <c r="N104" t="s">
        <v>946</v>
      </c>
    </row>
    <row r="105" spans="1:14">
      <c r="A105" t="s">
        <v>947</v>
      </c>
      <c r="B105" t="s">
        <v>856</v>
      </c>
      <c r="C105" t="s">
        <v>948</v>
      </c>
      <c r="D105" t="s">
        <v>949</v>
      </c>
      <c r="E105">
        <v>12988790878</v>
      </c>
      <c r="F105" s="4">
        <v>55</v>
      </c>
      <c r="G105" s="4" t="str">
        <f t="shared" si="1"/>
        <v>5512988790878</v>
      </c>
      <c r="H105" t="s">
        <v>2780</v>
      </c>
      <c r="I105" t="s">
        <v>14</v>
      </c>
      <c r="J105" t="s">
        <v>19</v>
      </c>
      <c r="K105" t="s">
        <v>16</v>
      </c>
      <c r="L105" t="s">
        <v>950</v>
      </c>
      <c r="M105" t="s">
        <v>951</v>
      </c>
      <c r="N105" t="s">
        <v>952</v>
      </c>
    </row>
    <row r="106" spans="1:14">
      <c r="A106" t="s">
        <v>953</v>
      </c>
      <c r="B106" t="s">
        <v>856</v>
      </c>
      <c r="C106" t="s">
        <v>954</v>
      </c>
      <c r="D106" t="s">
        <v>955</v>
      </c>
      <c r="E106">
        <v>31991489979</v>
      </c>
      <c r="F106" s="4">
        <v>55</v>
      </c>
      <c r="G106" s="4" t="str">
        <f t="shared" si="1"/>
        <v>5531991489979</v>
      </c>
      <c r="H106" t="s">
        <v>2789</v>
      </c>
      <c r="I106" t="s">
        <v>14</v>
      </c>
      <c r="J106" t="s">
        <v>17</v>
      </c>
      <c r="K106" t="s">
        <v>16</v>
      </c>
      <c r="L106" t="s">
        <v>956</v>
      </c>
      <c r="M106" t="s">
        <v>957</v>
      </c>
      <c r="N106" t="s">
        <v>954</v>
      </c>
    </row>
    <row r="107" spans="1:14">
      <c r="A107" t="s">
        <v>958</v>
      </c>
      <c r="B107" t="s">
        <v>959</v>
      </c>
      <c r="C107" t="s">
        <v>960</v>
      </c>
      <c r="D107" t="s">
        <v>961</v>
      </c>
      <c r="E107">
        <v>48984126676</v>
      </c>
      <c r="F107" s="4">
        <v>55</v>
      </c>
      <c r="G107" s="4" t="str">
        <f t="shared" si="1"/>
        <v>5548984126676</v>
      </c>
      <c r="H107" t="s">
        <v>2786</v>
      </c>
      <c r="I107" t="s">
        <v>14</v>
      </c>
      <c r="J107" t="s">
        <v>18</v>
      </c>
      <c r="K107" t="s">
        <v>16</v>
      </c>
      <c r="L107" t="s">
        <v>962</v>
      </c>
      <c r="M107" t="s">
        <v>405</v>
      </c>
      <c r="N107" t="s">
        <v>405</v>
      </c>
    </row>
    <row r="108" spans="1:14">
      <c r="A108" t="s">
        <v>963</v>
      </c>
      <c r="B108" t="s">
        <v>959</v>
      </c>
      <c r="C108" t="s">
        <v>964</v>
      </c>
      <c r="D108" t="s">
        <v>965</v>
      </c>
      <c r="E108">
        <v>3534411163</v>
      </c>
      <c r="F108" s="4">
        <v>55</v>
      </c>
      <c r="G108" s="4" t="str">
        <f t="shared" si="1"/>
        <v>553534411163</v>
      </c>
      <c r="H108" t="s">
        <v>2786</v>
      </c>
      <c r="I108" t="s">
        <v>14</v>
      </c>
      <c r="J108" t="s">
        <v>20</v>
      </c>
      <c r="K108" t="s">
        <v>16</v>
      </c>
      <c r="L108" t="s">
        <v>966</v>
      </c>
      <c r="M108" t="s">
        <v>405</v>
      </c>
      <c r="N108" t="s">
        <v>405</v>
      </c>
    </row>
    <row r="109" spans="1:14">
      <c r="A109" t="s">
        <v>967</v>
      </c>
      <c r="B109" t="s">
        <v>959</v>
      </c>
      <c r="C109" t="s">
        <v>968</v>
      </c>
      <c r="D109" t="s">
        <v>969</v>
      </c>
      <c r="E109">
        <v>31988490727</v>
      </c>
      <c r="F109" s="4">
        <v>55</v>
      </c>
      <c r="G109" s="4" t="str">
        <f t="shared" si="1"/>
        <v>5531988490727</v>
      </c>
      <c r="H109" t="s">
        <v>2786</v>
      </c>
      <c r="I109" t="s">
        <v>14</v>
      </c>
      <c r="J109" t="s">
        <v>101</v>
      </c>
      <c r="K109" t="s">
        <v>16</v>
      </c>
      <c r="L109" t="s">
        <v>970</v>
      </c>
      <c r="M109" t="s">
        <v>405</v>
      </c>
      <c r="N109" t="s">
        <v>405</v>
      </c>
    </row>
    <row r="110" spans="1:14">
      <c r="A110" t="s">
        <v>971</v>
      </c>
      <c r="B110" t="s">
        <v>959</v>
      </c>
      <c r="C110" t="s">
        <v>972</v>
      </c>
      <c r="D110" t="s">
        <v>973</v>
      </c>
      <c r="E110">
        <v>31987078220</v>
      </c>
      <c r="F110" s="4">
        <v>55</v>
      </c>
      <c r="G110" s="4" t="str">
        <f t="shared" si="1"/>
        <v>5531987078220</v>
      </c>
      <c r="H110" t="s">
        <v>2787</v>
      </c>
      <c r="I110" t="s">
        <v>14</v>
      </c>
      <c r="J110" t="s">
        <v>17</v>
      </c>
      <c r="K110" t="s">
        <v>16</v>
      </c>
      <c r="L110" t="s">
        <v>974</v>
      </c>
      <c r="M110" t="s">
        <v>975</v>
      </c>
      <c r="N110" t="s">
        <v>976</v>
      </c>
    </row>
    <row r="111" spans="1:14">
      <c r="A111" t="s">
        <v>977</v>
      </c>
      <c r="B111" t="s">
        <v>959</v>
      </c>
      <c r="C111" t="s">
        <v>978</v>
      </c>
      <c r="D111" t="s">
        <v>406</v>
      </c>
      <c r="E111">
        <v>31984368190</v>
      </c>
      <c r="F111" s="4">
        <v>55</v>
      </c>
      <c r="G111" s="4" t="str">
        <f t="shared" si="1"/>
        <v>5531984368190</v>
      </c>
      <c r="H111" t="s">
        <v>2780</v>
      </c>
      <c r="I111" t="s">
        <v>14</v>
      </c>
      <c r="J111" t="s">
        <v>17</v>
      </c>
      <c r="K111" t="s">
        <v>16</v>
      </c>
      <c r="L111" t="s">
        <v>979</v>
      </c>
      <c r="M111" t="s">
        <v>980</v>
      </c>
      <c r="N111" t="s">
        <v>981</v>
      </c>
    </row>
    <row r="112" spans="1:14">
      <c r="A112" t="s">
        <v>982</v>
      </c>
      <c r="B112" t="s">
        <v>959</v>
      </c>
      <c r="C112" t="s">
        <v>983</v>
      </c>
      <c r="D112" t="s">
        <v>984</v>
      </c>
      <c r="E112">
        <v>1144264537</v>
      </c>
      <c r="F112" s="4">
        <v>55</v>
      </c>
      <c r="G112" s="4" t="str">
        <f t="shared" si="1"/>
        <v>551144264537</v>
      </c>
      <c r="H112" t="s">
        <v>2790</v>
      </c>
      <c r="I112" t="s">
        <v>14</v>
      </c>
      <c r="J112" t="s">
        <v>37</v>
      </c>
      <c r="K112" t="s">
        <v>16</v>
      </c>
      <c r="L112" t="s">
        <v>985</v>
      </c>
      <c r="M112" t="s">
        <v>986</v>
      </c>
      <c r="N112" t="s">
        <v>987</v>
      </c>
    </row>
    <row r="113" spans="1:14">
      <c r="A113" t="s">
        <v>988</v>
      </c>
      <c r="B113" t="s">
        <v>959</v>
      </c>
      <c r="C113" t="s">
        <v>989</v>
      </c>
      <c r="D113" t="s">
        <v>990</v>
      </c>
      <c r="E113">
        <v>12982971232</v>
      </c>
      <c r="F113" s="4">
        <v>55</v>
      </c>
      <c r="G113" s="4" t="str">
        <f t="shared" si="1"/>
        <v>5512982971232</v>
      </c>
      <c r="H113" t="s">
        <v>2780</v>
      </c>
      <c r="I113" t="s">
        <v>14</v>
      </c>
      <c r="J113" t="s">
        <v>19</v>
      </c>
      <c r="K113" t="s">
        <v>16</v>
      </c>
      <c r="L113" t="s">
        <v>991</v>
      </c>
      <c r="M113" t="s">
        <v>992</v>
      </c>
      <c r="N113" t="s">
        <v>993</v>
      </c>
    </row>
    <row r="114" spans="1:14">
      <c r="A114" t="s">
        <v>994</v>
      </c>
      <c r="B114" t="s">
        <v>959</v>
      </c>
      <c r="C114" t="s">
        <v>995</v>
      </c>
      <c r="D114" t="s">
        <v>996</v>
      </c>
      <c r="E114">
        <v>12981175303</v>
      </c>
      <c r="F114" s="4">
        <v>55</v>
      </c>
      <c r="G114" s="4" t="str">
        <f t="shared" si="1"/>
        <v>5512981175303</v>
      </c>
      <c r="H114" t="s">
        <v>2780</v>
      </c>
      <c r="I114" t="s">
        <v>14</v>
      </c>
      <c r="J114" t="s">
        <v>19</v>
      </c>
      <c r="K114" t="s">
        <v>16</v>
      </c>
      <c r="L114" t="s">
        <v>997</v>
      </c>
      <c r="M114" t="s">
        <v>998</v>
      </c>
      <c r="N114" t="s">
        <v>999</v>
      </c>
    </row>
    <row r="115" spans="1:14">
      <c r="A115" t="s">
        <v>1000</v>
      </c>
      <c r="B115" t="s">
        <v>959</v>
      </c>
      <c r="C115" t="s">
        <v>1001</v>
      </c>
      <c r="D115" t="s">
        <v>1002</v>
      </c>
      <c r="E115">
        <v>31992551600</v>
      </c>
      <c r="F115" s="4">
        <v>55</v>
      </c>
      <c r="G115" s="4" t="str">
        <f t="shared" si="1"/>
        <v>5531992551600</v>
      </c>
      <c r="H115" t="s">
        <v>2780</v>
      </c>
      <c r="I115" t="s">
        <v>14</v>
      </c>
      <c r="J115" t="s">
        <v>17</v>
      </c>
      <c r="K115" t="s">
        <v>16</v>
      </c>
      <c r="L115" t="s">
        <v>1003</v>
      </c>
      <c r="M115" t="s">
        <v>1004</v>
      </c>
      <c r="N115" t="s">
        <v>1005</v>
      </c>
    </row>
    <row r="116" spans="1:14">
      <c r="A116" t="s">
        <v>1006</v>
      </c>
      <c r="B116" t="s">
        <v>959</v>
      </c>
      <c r="C116" t="s">
        <v>1007</v>
      </c>
      <c r="D116" t="s">
        <v>1008</v>
      </c>
      <c r="E116">
        <v>31984088011</v>
      </c>
      <c r="F116" s="4">
        <v>55</v>
      </c>
      <c r="G116" s="4" t="str">
        <f t="shared" si="1"/>
        <v>5531984088011</v>
      </c>
      <c r="H116" t="s">
        <v>2789</v>
      </c>
      <c r="I116" t="s">
        <v>14</v>
      </c>
      <c r="J116" t="s">
        <v>17</v>
      </c>
      <c r="K116" t="s">
        <v>16</v>
      </c>
      <c r="L116" t="s">
        <v>1009</v>
      </c>
      <c r="M116" t="s">
        <v>1010</v>
      </c>
      <c r="N116" t="s">
        <v>1011</v>
      </c>
    </row>
    <row r="117" spans="1:14">
      <c r="A117" t="s">
        <v>1012</v>
      </c>
      <c r="B117" t="s">
        <v>959</v>
      </c>
      <c r="C117" t="s">
        <v>1007</v>
      </c>
      <c r="D117" t="s">
        <v>1008</v>
      </c>
      <c r="E117">
        <v>31984088011</v>
      </c>
      <c r="F117" s="4">
        <v>55</v>
      </c>
      <c r="G117" s="4" t="str">
        <f t="shared" si="1"/>
        <v>5531984088011</v>
      </c>
      <c r="H117" t="s">
        <v>2789</v>
      </c>
      <c r="I117" t="s">
        <v>14</v>
      </c>
      <c r="J117" t="s">
        <v>17</v>
      </c>
      <c r="K117" t="s">
        <v>16</v>
      </c>
      <c r="L117" t="s">
        <v>1009</v>
      </c>
      <c r="M117" t="s">
        <v>1013</v>
      </c>
      <c r="N117" t="s">
        <v>1014</v>
      </c>
    </row>
    <row r="118" spans="1:14">
      <c r="A118" t="s">
        <v>1015</v>
      </c>
      <c r="B118" t="s">
        <v>959</v>
      </c>
      <c r="C118" t="s">
        <v>1007</v>
      </c>
      <c r="D118" t="s">
        <v>1008</v>
      </c>
      <c r="E118">
        <v>31984088011</v>
      </c>
      <c r="F118" s="4">
        <v>55</v>
      </c>
      <c r="G118" s="4" t="str">
        <f t="shared" si="1"/>
        <v>5531984088011</v>
      </c>
      <c r="H118" t="s">
        <v>2789</v>
      </c>
      <c r="I118" t="s">
        <v>14</v>
      </c>
      <c r="J118" t="s">
        <v>17</v>
      </c>
      <c r="K118" t="s">
        <v>16</v>
      </c>
      <c r="L118" t="s">
        <v>1009</v>
      </c>
      <c r="M118" t="s">
        <v>1016</v>
      </c>
      <c r="N118" t="s">
        <v>1017</v>
      </c>
    </row>
    <row r="119" spans="1:14">
      <c r="A119" t="s">
        <v>1018</v>
      </c>
      <c r="B119" t="s">
        <v>959</v>
      </c>
      <c r="C119" t="s">
        <v>1019</v>
      </c>
      <c r="D119" t="s">
        <v>54</v>
      </c>
      <c r="E119">
        <v>11966060653</v>
      </c>
      <c r="F119" s="4">
        <v>55</v>
      </c>
      <c r="G119" s="4" t="str">
        <f t="shared" si="1"/>
        <v>5511966060653</v>
      </c>
      <c r="H119" t="s">
        <v>2789</v>
      </c>
      <c r="I119" t="s">
        <v>14</v>
      </c>
      <c r="J119" t="s">
        <v>15</v>
      </c>
      <c r="K119" t="s">
        <v>16</v>
      </c>
      <c r="L119" t="s">
        <v>1020</v>
      </c>
      <c r="M119" t="s">
        <v>1021</v>
      </c>
      <c r="N119" t="s">
        <v>1022</v>
      </c>
    </row>
    <row r="120" spans="1:14">
      <c r="A120" t="s">
        <v>1023</v>
      </c>
      <c r="B120" t="s">
        <v>959</v>
      </c>
      <c r="C120" t="s">
        <v>1024</v>
      </c>
      <c r="D120" t="s">
        <v>1025</v>
      </c>
      <c r="E120">
        <v>12991797672</v>
      </c>
      <c r="F120" s="4">
        <v>55</v>
      </c>
      <c r="G120" s="4" t="str">
        <f t="shared" si="1"/>
        <v>5512991797672</v>
      </c>
      <c r="H120" t="s">
        <v>2789</v>
      </c>
      <c r="I120" t="s">
        <v>14</v>
      </c>
      <c r="J120" t="s">
        <v>19</v>
      </c>
      <c r="K120" t="s">
        <v>16</v>
      </c>
      <c r="L120" t="s">
        <v>1026</v>
      </c>
      <c r="M120" t="s">
        <v>1027</v>
      </c>
      <c r="N120" t="s">
        <v>1028</v>
      </c>
    </row>
    <row r="121" spans="1:14">
      <c r="A121" t="s">
        <v>1029</v>
      </c>
      <c r="B121" t="s">
        <v>959</v>
      </c>
      <c r="C121" t="s">
        <v>1030</v>
      </c>
      <c r="D121" t="s">
        <v>403</v>
      </c>
      <c r="F121" s="4">
        <v>55</v>
      </c>
      <c r="G121" s="4" t="str">
        <f t="shared" si="1"/>
        <v>55</v>
      </c>
      <c r="H121" t="s">
        <v>2780</v>
      </c>
      <c r="I121" t="s">
        <v>14</v>
      </c>
      <c r="J121" t="s">
        <v>15</v>
      </c>
      <c r="K121" t="s">
        <v>16</v>
      </c>
      <c r="L121" t="s">
        <v>1031</v>
      </c>
      <c r="M121" t="s">
        <v>1032</v>
      </c>
      <c r="N121" t="s">
        <v>1033</v>
      </c>
    </row>
    <row r="122" spans="1:14">
      <c r="A122" t="s">
        <v>1034</v>
      </c>
      <c r="B122" t="s">
        <v>959</v>
      </c>
      <c r="C122" t="s">
        <v>1035</v>
      </c>
      <c r="D122" t="s">
        <v>1036</v>
      </c>
      <c r="E122">
        <v>12981718497</v>
      </c>
      <c r="F122" s="4">
        <v>55</v>
      </c>
      <c r="G122" s="4" t="str">
        <f t="shared" si="1"/>
        <v>5512981718497</v>
      </c>
      <c r="H122" t="s">
        <v>2789</v>
      </c>
      <c r="I122" t="s">
        <v>14</v>
      </c>
      <c r="J122" t="s">
        <v>19</v>
      </c>
      <c r="K122" t="s">
        <v>16</v>
      </c>
      <c r="L122" t="s">
        <v>1037</v>
      </c>
      <c r="M122" t="s">
        <v>1038</v>
      </c>
      <c r="N122" t="s">
        <v>1039</v>
      </c>
    </row>
    <row r="123" spans="1:14">
      <c r="A123" t="s">
        <v>1040</v>
      </c>
      <c r="B123" t="s">
        <v>959</v>
      </c>
      <c r="C123" t="s">
        <v>1041</v>
      </c>
      <c r="D123" t="s">
        <v>42</v>
      </c>
      <c r="E123">
        <v>11953301244</v>
      </c>
      <c r="F123" s="4">
        <v>55</v>
      </c>
      <c r="G123" s="4" t="str">
        <f t="shared" si="1"/>
        <v>5511953301244</v>
      </c>
      <c r="H123" t="s">
        <v>2789</v>
      </c>
      <c r="I123" t="s">
        <v>14</v>
      </c>
      <c r="J123" t="s">
        <v>19</v>
      </c>
      <c r="K123" t="s">
        <v>16</v>
      </c>
      <c r="L123" t="s">
        <v>1042</v>
      </c>
      <c r="M123" t="s">
        <v>1043</v>
      </c>
      <c r="N123" t="s">
        <v>1044</v>
      </c>
    </row>
    <row r="124" spans="1:14">
      <c r="A124" t="s">
        <v>1045</v>
      </c>
      <c r="B124" t="s">
        <v>959</v>
      </c>
      <c r="C124" t="s">
        <v>1046</v>
      </c>
      <c r="D124" t="s">
        <v>42</v>
      </c>
      <c r="E124">
        <v>11963425246</v>
      </c>
      <c r="F124" s="4">
        <v>55</v>
      </c>
      <c r="G124" s="4" t="str">
        <f t="shared" si="1"/>
        <v>5511963425246</v>
      </c>
      <c r="H124" t="s">
        <v>2789</v>
      </c>
      <c r="I124" t="s">
        <v>14</v>
      </c>
      <c r="J124" t="s">
        <v>19</v>
      </c>
      <c r="K124" t="s">
        <v>16</v>
      </c>
      <c r="L124" t="s">
        <v>1047</v>
      </c>
      <c r="M124" t="s">
        <v>1048</v>
      </c>
      <c r="N124" t="s">
        <v>1049</v>
      </c>
    </row>
    <row r="125" spans="1:14">
      <c r="A125" t="s">
        <v>1050</v>
      </c>
      <c r="B125" t="s">
        <v>959</v>
      </c>
      <c r="C125" t="s">
        <v>1046</v>
      </c>
      <c r="D125" t="s">
        <v>42</v>
      </c>
      <c r="E125">
        <v>11963425246</v>
      </c>
      <c r="F125" s="4">
        <v>55</v>
      </c>
      <c r="G125" s="4" t="str">
        <f t="shared" si="1"/>
        <v>5511963425246</v>
      </c>
      <c r="H125" t="s">
        <v>2789</v>
      </c>
      <c r="I125" t="s">
        <v>14</v>
      </c>
      <c r="J125" t="s">
        <v>19</v>
      </c>
      <c r="K125" t="s">
        <v>16</v>
      </c>
      <c r="L125" t="s">
        <v>1047</v>
      </c>
      <c r="M125" t="s">
        <v>1051</v>
      </c>
      <c r="N125" t="s">
        <v>1052</v>
      </c>
    </row>
    <row r="126" spans="1:14">
      <c r="A126" t="s">
        <v>1053</v>
      </c>
      <c r="B126" t="s">
        <v>959</v>
      </c>
      <c r="C126" t="s">
        <v>1054</v>
      </c>
      <c r="D126" t="s">
        <v>1055</v>
      </c>
      <c r="E126">
        <v>11970812141</v>
      </c>
      <c r="F126" s="4">
        <v>55</v>
      </c>
      <c r="G126" s="4" t="str">
        <f t="shared" si="1"/>
        <v>5511970812141</v>
      </c>
      <c r="H126" t="s">
        <v>2781</v>
      </c>
      <c r="I126" t="s">
        <v>14</v>
      </c>
      <c r="J126" t="s">
        <v>37</v>
      </c>
      <c r="K126" t="s">
        <v>16</v>
      </c>
      <c r="L126" t="s">
        <v>1056</v>
      </c>
      <c r="M126" t="s">
        <v>405</v>
      </c>
      <c r="N126" t="s">
        <v>405</v>
      </c>
    </row>
    <row r="127" spans="1:14">
      <c r="A127" t="s">
        <v>1057</v>
      </c>
      <c r="B127" t="s">
        <v>959</v>
      </c>
      <c r="C127" t="s">
        <v>1058</v>
      </c>
      <c r="D127" t="s">
        <v>1059</v>
      </c>
      <c r="F127" s="4">
        <v>55</v>
      </c>
      <c r="G127" s="4" t="str">
        <f t="shared" si="1"/>
        <v>55</v>
      </c>
      <c r="H127" t="s">
        <v>2789</v>
      </c>
      <c r="I127" t="s">
        <v>14</v>
      </c>
      <c r="J127" t="s">
        <v>15</v>
      </c>
      <c r="K127" t="s">
        <v>16</v>
      </c>
      <c r="L127" t="s">
        <v>1060</v>
      </c>
      <c r="M127" t="s">
        <v>1061</v>
      </c>
      <c r="N127" t="s">
        <v>1062</v>
      </c>
    </row>
    <row r="128" spans="1:14">
      <c r="A128" t="s">
        <v>1063</v>
      </c>
      <c r="B128" t="s">
        <v>959</v>
      </c>
      <c r="C128" t="s">
        <v>1064</v>
      </c>
      <c r="D128" t="s">
        <v>1059</v>
      </c>
      <c r="E128">
        <v>11991450920</v>
      </c>
      <c r="F128" s="4">
        <v>55</v>
      </c>
      <c r="G128" s="4" t="str">
        <f t="shared" si="1"/>
        <v>5511991450920</v>
      </c>
      <c r="H128" t="s">
        <v>2789</v>
      </c>
      <c r="I128" t="s">
        <v>14</v>
      </c>
      <c r="J128" t="s">
        <v>18</v>
      </c>
      <c r="K128" t="s">
        <v>16</v>
      </c>
      <c r="L128" t="s">
        <v>1065</v>
      </c>
      <c r="M128" t="s">
        <v>1066</v>
      </c>
      <c r="N128" t="s">
        <v>1067</v>
      </c>
    </row>
    <row r="129" spans="1:14">
      <c r="A129" t="s">
        <v>1068</v>
      </c>
      <c r="B129" t="s">
        <v>959</v>
      </c>
      <c r="C129" t="s">
        <v>1069</v>
      </c>
      <c r="D129" t="s">
        <v>1070</v>
      </c>
      <c r="F129" s="4">
        <v>55</v>
      </c>
      <c r="G129" s="4" t="str">
        <f t="shared" si="1"/>
        <v>55</v>
      </c>
      <c r="H129" t="s">
        <v>2780</v>
      </c>
      <c r="I129" t="s">
        <v>14</v>
      </c>
      <c r="J129" t="s">
        <v>15</v>
      </c>
      <c r="K129" t="s">
        <v>16</v>
      </c>
      <c r="L129" t="s">
        <v>1071</v>
      </c>
      <c r="M129" t="s">
        <v>1072</v>
      </c>
      <c r="N129" t="s">
        <v>1073</v>
      </c>
    </row>
    <row r="130" spans="1:14">
      <c r="A130" t="s">
        <v>1074</v>
      </c>
      <c r="B130" t="s">
        <v>959</v>
      </c>
      <c r="C130" t="s">
        <v>1075</v>
      </c>
      <c r="D130" t="s">
        <v>1076</v>
      </c>
      <c r="E130">
        <v>31999723851</v>
      </c>
      <c r="F130" s="4">
        <v>55</v>
      </c>
      <c r="G130" s="4" t="str">
        <f t="shared" si="1"/>
        <v>5531999723851</v>
      </c>
      <c r="H130" t="s">
        <v>2780</v>
      </c>
      <c r="I130" t="s">
        <v>14</v>
      </c>
      <c r="J130" t="s">
        <v>17</v>
      </c>
      <c r="K130" t="s">
        <v>16</v>
      </c>
      <c r="L130" t="s">
        <v>1077</v>
      </c>
      <c r="M130" t="s">
        <v>1078</v>
      </c>
      <c r="N130" t="s">
        <v>1079</v>
      </c>
    </row>
    <row r="131" spans="1:14">
      <c r="A131" t="s">
        <v>1080</v>
      </c>
      <c r="B131" t="s">
        <v>959</v>
      </c>
      <c r="C131" t="s">
        <v>1081</v>
      </c>
      <c r="D131" t="s">
        <v>42</v>
      </c>
      <c r="E131">
        <v>27997246467</v>
      </c>
      <c r="F131" s="4">
        <v>55</v>
      </c>
      <c r="G131" s="4" t="str">
        <f t="shared" ref="G131:G194" si="2">CONCATENATE(F131,E131)</f>
        <v>5527997246467</v>
      </c>
      <c r="H131" t="s">
        <v>2780</v>
      </c>
      <c r="I131" t="s">
        <v>14</v>
      </c>
      <c r="J131" t="s">
        <v>19</v>
      </c>
      <c r="K131" t="s">
        <v>16</v>
      </c>
      <c r="L131" t="s">
        <v>1082</v>
      </c>
      <c r="M131" t="s">
        <v>1083</v>
      </c>
      <c r="N131" t="s">
        <v>1084</v>
      </c>
    </row>
    <row r="132" spans="1:14">
      <c r="A132" t="s">
        <v>1085</v>
      </c>
      <c r="B132" t="s">
        <v>959</v>
      </c>
      <c r="C132" t="s">
        <v>1086</v>
      </c>
      <c r="D132" t="s">
        <v>1087</v>
      </c>
      <c r="E132">
        <v>11994528826</v>
      </c>
      <c r="F132" s="4">
        <v>55</v>
      </c>
      <c r="G132" s="4" t="str">
        <f t="shared" si="2"/>
        <v>5511994528826</v>
      </c>
      <c r="H132" t="s">
        <v>2789</v>
      </c>
      <c r="I132" t="s">
        <v>14</v>
      </c>
      <c r="J132" t="s">
        <v>19</v>
      </c>
      <c r="K132" t="s">
        <v>16</v>
      </c>
      <c r="L132" t="s">
        <v>1088</v>
      </c>
      <c r="M132" t="s">
        <v>1089</v>
      </c>
      <c r="N132" t="s">
        <v>1086</v>
      </c>
    </row>
    <row r="133" spans="1:14">
      <c r="A133" t="s">
        <v>1090</v>
      </c>
      <c r="B133" t="s">
        <v>959</v>
      </c>
      <c r="C133" t="s">
        <v>1091</v>
      </c>
      <c r="D133" t="s">
        <v>54</v>
      </c>
      <c r="E133">
        <v>11940841453</v>
      </c>
      <c r="F133" s="4">
        <v>55</v>
      </c>
      <c r="G133" s="4" t="str">
        <f t="shared" si="2"/>
        <v>5511940841453</v>
      </c>
      <c r="H133" t="s">
        <v>2789</v>
      </c>
      <c r="I133" t="s">
        <v>14</v>
      </c>
      <c r="J133" t="s">
        <v>15</v>
      </c>
      <c r="K133" t="s">
        <v>16</v>
      </c>
      <c r="L133" t="s">
        <v>1092</v>
      </c>
      <c r="M133" t="s">
        <v>1093</v>
      </c>
      <c r="N133" t="s">
        <v>1094</v>
      </c>
    </row>
    <row r="134" spans="1:14">
      <c r="A134" t="s">
        <v>1095</v>
      </c>
      <c r="B134" t="s">
        <v>959</v>
      </c>
      <c r="C134" t="s">
        <v>1096</v>
      </c>
      <c r="D134" t="s">
        <v>340</v>
      </c>
      <c r="E134">
        <v>12974040295</v>
      </c>
      <c r="F134" s="4">
        <v>55</v>
      </c>
      <c r="G134" s="4" t="str">
        <f t="shared" si="2"/>
        <v>5512974040295</v>
      </c>
      <c r="H134" t="s">
        <v>2789</v>
      </c>
      <c r="I134" t="s">
        <v>14</v>
      </c>
      <c r="J134" t="s">
        <v>19</v>
      </c>
      <c r="K134" t="s">
        <v>16</v>
      </c>
      <c r="L134" t="s">
        <v>1097</v>
      </c>
      <c r="M134" t="s">
        <v>1098</v>
      </c>
      <c r="N134" t="s">
        <v>1099</v>
      </c>
    </row>
    <row r="135" spans="1:14">
      <c r="A135" t="s">
        <v>1100</v>
      </c>
      <c r="B135" t="s">
        <v>959</v>
      </c>
      <c r="C135" t="s">
        <v>1101</v>
      </c>
      <c r="D135" t="s">
        <v>54</v>
      </c>
      <c r="E135">
        <v>11967072655</v>
      </c>
      <c r="F135" s="4">
        <v>55</v>
      </c>
      <c r="G135" s="4" t="str">
        <f t="shared" si="2"/>
        <v>5511967072655</v>
      </c>
      <c r="H135" t="s">
        <v>2789</v>
      </c>
      <c r="I135" t="s">
        <v>14</v>
      </c>
      <c r="J135" t="s">
        <v>15</v>
      </c>
      <c r="K135" t="s">
        <v>16</v>
      </c>
      <c r="L135" t="s">
        <v>1102</v>
      </c>
      <c r="M135" t="s">
        <v>1103</v>
      </c>
      <c r="N135" t="s">
        <v>1104</v>
      </c>
    </row>
    <row r="136" spans="1:14">
      <c r="A136" t="s">
        <v>1105</v>
      </c>
      <c r="B136" t="s">
        <v>959</v>
      </c>
      <c r="C136" t="s">
        <v>1106</v>
      </c>
      <c r="D136" t="s">
        <v>1107</v>
      </c>
      <c r="E136">
        <v>12981419267</v>
      </c>
      <c r="F136" s="4">
        <v>55</v>
      </c>
      <c r="G136" s="4" t="str">
        <f t="shared" si="2"/>
        <v>5512981419267</v>
      </c>
      <c r="H136" t="s">
        <v>2779</v>
      </c>
      <c r="I136" t="s">
        <v>14</v>
      </c>
      <c r="J136" t="s">
        <v>19</v>
      </c>
      <c r="K136" t="s">
        <v>16</v>
      </c>
      <c r="L136" t="s">
        <v>1108</v>
      </c>
      <c r="M136" t="s">
        <v>1109</v>
      </c>
      <c r="N136" t="s">
        <v>1110</v>
      </c>
    </row>
    <row r="137" spans="1:14">
      <c r="A137" t="s">
        <v>1111</v>
      </c>
      <c r="B137" t="s">
        <v>959</v>
      </c>
      <c r="C137" t="s">
        <v>1112</v>
      </c>
      <c r="D137" t="s">
        <v>1113</v>
      </c>
      <c r="E137">
        <v>12996800176</v>
      </c>
      <c r="F137" s="4">
        <v>55</v>
      </c>
      <c r="G137" s="4" t="str">
        <f t="shared" si="2"/>
        <v>5512996800176</v>
      </c>
      <c r="H137" t="s">
        <v>2781</v>
      </c>
      <c r="I137" t="s">
        <v>14</v>
      </c>
      <c r="J137" t="s">
        <v>19</v>
      </c>
      <c r="K137" t="s">
        <v>16</v>
      </c>
      <c r="L137" t="s">
        <v>1114</v>
      </c>
      <c r="M137" t="s">
        <v>405</v>
      </c>
      <c r="N137" t="s">
        <v>405</v>
      </c>
    </row>
    <row r="138" spans="1:14">
      <c r="A138" t="s">
        <v>1115</v>
      </c>
      <c r="B138" t="s">
        <v>959</v>
      </c>
      <c r="C138" t="s">
        <v>1116</v>
      </c>
      <c r="D138" t="s">
        <v>1117</v>
      </c>
      <c r="E138">
        <v>12981904601</v>
      </c>
      <c r="F138" s="4">
        <v>55</v>
      </c>
      <c r="G138" s="4" t="str">
        <f t="shared" si="2"/>
        <v>5512981904601</v>
      </c>
      <c r="H138" t="s">
        <v>2789</v>
      </c>
      <c r="I138" t="s">
        <v>14</v>
      </c>
      <c r="J138" t="s">
        <v>19</v>
      </c>
      <c r="K138" t="s">
        <v>16</v>
      </c>
      <c r="L138" t="s">
        <v>1118</v>
      </c>
      <c r="M138" t="s">
        <v>1119</v>
      </c>
      <c r="N138" t="s">
        <v>1120</v>
      </c>
    </row>
    <row r="139" spans="1:14">
      <c r="A139" t="s">
        <v>1121</v>
      </c>
      <c r="B139" t="s">
        <v>959</v>
      </c>
      <c r="C139" t="s">
        <v>1122</v>
      </c>
      <c r="D139" t="s">
        <v>1123</v>
      </c>
      <c r="E139">
        <v>12981639914</v>
      </c>
      <c r="F139" s="4">
        <v>55</v>
      </c>
      <c r="G139" s="4" t="str">
        <f t="shared" si="2"/>
        <v>5512981639914</v>
      </c>
      <c r="H139" t="s">
        <v>2781</v>
      </c>
      <c r="I139" t="s">
        <v>14</v>
      </c>
      <c r="J139" t="s">
        <v>19</v>
      </c>
      <c r="K139" t="s">
        <v>16</v>
      </c>
      <c r="L139" t="s">
        <v>1124</v>
      </c>
      <c r="M139" t="s">
        <v>405</v>
      </c>
      <c r="N139" t="s">
        <v>405</v>
      </c>
    </row>
    <row r="140" spans="1:14">
      <c r="A140" t="s">
        <v>1125</v>
      </c>
      <c r="B140" t="s">
        <v>1126</v>
      </c>
      <c r="C140" t="s">
        <v>1127</v>
      </c>
      <c r="D140" t="s">
        <v>1128</v>
      </c>
      <c r="E140">
        <v>3130576142</v>
      </c>
      <c r="F140" s="4">
        <v>55</v>
      </c>
      <c r="G140" s="4" t="str">
        <f t="shared" si="2"/>
        <v>553130576142</v>
      </c>
      <c r="H140" t="s">
        <v>2786</v>
      </c>
      <c r="I140" t="s">
        <v>14</v>
      </c>
      <c r="J140" t="s">
        <v>17</v>
      </c>
      <c r="K140" t="s">
        <v>16</v>
      </c>
      <c r="L140" t="s">
        <v>1129</v>
      </c>
      <c r="M140" t="s">
        <v>405</v>
      </c>
      <c r="N140" t="s">
        <v>405</v>
      </c>
    </row>
    <row r="141" spans="1:14">
      <c r="A141" t="s">
        <v>1130</v>
      </c>
      <c r="B141" t="s">
        <v>1126</v>
      </c>
      <c r="C141" t="s">
        <v>1131</v>
      </c>
      <c r="D141" t="s">
        <v>1132</v>
      </c>
      <c r="E141">
        <v>33784079941</v>
      </c>
      <c r="F141" s="4">
        <v>55</v>
      </c>
      <c r="G141" s="4" t="str">
        <f t="shared" si="2"/>
        <v>5533784079941</v>
      </c>
      <c r="H141" t="s">
        <v>2782</v>
      </c>
      <c r="I141" t="s">
        <v>14</v>
      </c>
      <c r="J141" t="s">
        <v>18</v>
      </c>
      <c r="K141" t="s">
        <v>16</v>
      </c>
      <c r="L141" t="s">
        <v>1133</v>
      </c>
      <c r="M141" t="s">
        <v>405</v>
      </c>
      <c r="N141" t="s">
        <v>405</v>
      </c>
    </row>
    <row r="142" spans="1:14">
      <c r="A142" t="s">
        <v>1134</v>
      </c>
      <c r="B142" t="s">
        <v>1126</v>
      </c>
      <c r="C142" t="s">
        <v>1135</v>
      </c>
      <c r="D142" t="s">
        <v>402</v>
      </c>
      <c r="F142" s="4">
        <v>55</v>
      </c>
      <c r="G142" s="4" t="str">
        <f t="shared" si="2"/>
        <v>55</v>
      </c>
      <c r="H142" t="s">
        <v>2788</v>
      </c>
      <c r="I142" t="s">
        <v>14</v>
      </c>
      <c r="J142" t="s">
        <v>15</v>
      </c>
      <c r="K142" t="s">
        <v>16</v>
      </c>
      <c r="L142" t="s">
        <v>1136</v>
      </c>
      <c r="M142" t="s">
        <v>1137</v>
      </c>
      <c r="N142" t="s">
        <v>1138</v>
      </c>
    </row>
    <row r="143" spans="1:14">
      <c r="A143" t="s">
        <v>1139</v>
      </c>
      <c r="B143" t="s">
        <v>1126</v>
      </c>
      <c r="C143" t="s">
        <v>1140</v>
      </c>
      <c r="D143" t="s">
        <v>1141</v>
      </c>
      <c r="E143">
        <v>11964977681</v>
      </c>
      <c r="F143" s="4">
        <v>55</v>
      </c>
      <c r="G143" s="4" t="str">
        <f t="shared" si="2"/>
        <v>5511964977681</v>
      </c>
      <c r="H143" t="s">
        <v>2780</v>
      </c>
      <c r="I143" t="s">
        <v>14</v>
      </c>
      <c r="J143" t="s">
        <v>15</v>
      </c>
      <c r="K143" t="s">
        <v>16</v>
      </c>
      <c r="L143" t="s">
        <v>1142</v>
      </c>
      <c r="M143" t="s">
        <v>1143</v>
      </c>
      <c r="N143" t="s">
        <v>1144</v>
      </c>
    </row>
    <row r="144" spans="1:14">
      <c r="A144" t="s">
        <v>1145</v>
      </c>
      <c r="B144" t="s">
        <v>1146</v>
      </c>
      <c r="C144" t="s">
        <v>1147</v>
      </c>
      <c r="D144" t="s">
        <v>1148</v>
      </c>
      <c r="E144">
        <v>31988808424</v>
      </c>
      <c r="F144" s="4">
        <v>55</v>
      </c>
      <c r="G144" s="4" t="str">
        <f t="shared" si="2"/>
        <v>5531988808424</v>
      </c>
      <c r="H144" t="s">
        <v>2783</v>
      </c>
      <c r="I144" t="s">
        <v>14</v>
      </c>
      <c r="J144" t="s">
        <v>17</v>
      </c>
      <c r="K144" t="s">
        <v>16</v>
      </c>
      <c r="L144" t="s">
        <v>1149</v>
      </c>
      <c r="M144" t="s">
        <v>1150</v>
      </c>
      <c r="N144" t="s">
        <v>1151</v>
      </c>
    </row>
    <row r="145" spans="1:14">
      <c r="A145" t="s">
        <v>1152</v>
      </c>
      <c r="B145" t="s">
        <v>1146</v>
      </c>
      <c r="C145" t="s">
        <v>1153</v>
      </c>
      <c r="D145" t="s">
        <v>1154</v>
      </c>
      <c r="E145">
        <v>11963701609</v>
      </c>
      <c r="F145" s="4">
        <v>55</v>
      </c>
      <c r="G145" s="4" t="str">
        <f t="shared" si="2"/>
        <v>5511963701609</v>
      </c>
      <c r="H145" t="s">
        <v>2796</v>
      </c>
      <c r="I145" t="s">
        <v>14</v>
      </c>
      <c r="J145" t="s">
        <v>1155</v>
      </c>
      <c r="K145" t="s">
        <v>16</v>
      </c>
      <c r="L145" t="s">
        <v>1156</v>
      </c>
      <c r="M145" t="s">
        <v>405</v>
      </c>
      <c r="N145" t="s">
        <v>405</v>
      </c>
    </row>
    <row r="146" spans="1:14">
      <c r="A146" t="s">
        <v>1157</v>
      </c>
      <c r="B146" t="s">
        <v>1146</v>
      </c>
      <c r="C146" t="s">
        <v>1158</v>
      </c>
      <c r="D146" t="s">
        <v>1159</v>
      </c>
      <c r="E146">
        <v>11991922964</v>
      </c>
      <c r="F146" s="4">
        <v>55</v>
      </c>
      <c r="G146" s="4" t="str">
        <f t="shared" si="2"/>
        <v>5511991922964</v>
      </c>
      <c r="H146" t="s">
        <v>2786</v>
      </c>
      <c r="I146" t="s">
        <v>14</v>
      </c>
      <c r="J146" t="s">
        <v>19</v>
      </c>
      <c r="K146" t="s">
        <v>16</v>
      </c>
      <c r="L146" t="s">
        <v>1160</v>
      </c>
      <c r="M146" t="s">
        <v>405</v>
      </c>
      <c r="N146" t="s">
        <v>405</v>
      </c>
    </row>
    <row r="147" spans="1:14">
      <c r="A147" t="s">
        <v>1161</v>
      </c>
      <c r="B147" t="s">
        <v>1146</v>
      </c>
      <c r="C147" t="s">
        <v>1162</v>
      </c>
      <c r="D147" t="s">
        <v>1163</v>
      </c>
      <c r="E147">
        <v>35997373317</v>
      </c>
      <c r="F147" s="4">
        <v>55</v>
      </c>
      <c r="G147" s="4" t="str">
        <f t="shared" si="2"/>
        <v>5535997373317</v>
      </c>
      <c r="H147" t="s">
        <v>2792</v>
      </c>
      <c r="I147" t="s">
        <v>14</v>
      </c>
      <c r="J147" t="s">
        <v>19</v>
      </c>
      <c r="K147" t="s">
        <v>16</v>
      </c>
      <c r="L147" t="s">
        <v>1164</v>
      </c>
      <c r="M147" t="s">
        <v>405</v>
      </c>
      <c r="N147" t="s">
        <v>405</v>
      </c>
    </row>
    <row r="148" spans="1:14">
      <c r="A148" t="s">
        <v>1165</v>
      </c>
      <c r="B148" t="s">
        <v>1146</v>
      </c>
      <c r="C148" t="s">
        <v>1166</v>
      </c>
      <c r="D148" t="s">
        <v>1167</v>
      </c>
      <c r="E148">
        <v>12981299100</v>
      </c>
      <c r="F148" s="4">
        <v>55</v>
      </c>
      <c r="G148" s="4" t="str">
        <f t="shared" si="2"/>
        <v>5512981299100</v>
      </c>
      <c r="H148" t="s">
        <v>2788</v>
      </c>
      <c r="I148" t="s">
        <v>14</v>
      </c>
      <c r="J148" t="s">
        <v>19</v>
      </c>
      <c r="K148" t="s">
        <v>16</v>
      </c>
      <c r="L148" t="s">
        <v>1168</v>
      </c>
      <c r="M148" t="s">
        <v>1169</v>
      </c>
      <c r="N148" t="s">
        <v>1170</v>
      </c>
    </row>
    <row r="149" spans="1:14">
      <c r="A149" t="s">
        <v>1171</v>
      </c>
      <c r="B149" t="s">
        <v>1146</v>
      </c>
      <c r="C149" t="s">
        <v>1172</v>
      </c>
      <c r="D149" t="s">
        <v>1173</v>
      </c>
      <c r="E149">
        <v>11985566899</v>
      </c>
      <c r="F149" s="4">
        <v>55</v>
      </c>
      <c r="G149" s="4" t="str">
        <f t="shared" si="2"/>
        <v>5511985566899</v>
      </c>
      <c r="H149" t="s">
        <v>2781</v>
      </c>
      <c r="I149" t="s">
        <v>14</v>
      </c>
      <c r="J149" t="s">
        <v>98</v>
      </c>
      <c r="K149" t="s">
        <v>16</v>
      </c>
      <c r="L149" t="s">
        <v>1174</v>
      </c>
      <c r="M149" t="s">
        <v>405</v>
      </c>
      <c r="N149" t="s">
        <v>405</v>
      </c>
    </row>
    <row r="150" spans="1:14">
      <c r="A150" t="s">
        <v>1175</v>
      </c>
      <c r="B150" t="s">
        <v>1176</v>
      </c>
      <c r="C150" t="s">
        <v>1177</v>
      </c>
      <c r="D150" t="s">
        <v>1178</v>
      </c>
      <c r="E150">
        <v>31999731606</v>
      </c>
      <c r="F150" s="4">
        <v>55</v>
      </c>
      <c r="G150" s="4" t="str">
        <f t="shared" si="2"/>
        <v>5531999731606</v>
      </c>
      <c r="H150" t="s">
        <v>2786</v>
      </c>
      <c r="I150" t="s">
        <v>14</v>
      </c>
      <c r="J150" t="s">
        <v>101</v>
      </c>
      <c r="K150" t="s">
        <v>16</v>
      </c>
      <c r="L150" t="s">
        <v>1179</v>
      </c>
      <c r="M150" t="s">
        <v>405</v>
      </c>
      <c r="N150" t="s">
        <v>405</v>
      </c>
    </row>
    <row r="151" spans="1:14">
      <c r="A151" t="s">
        <v>1180</v>
      </c>
      <c r="B151" t="s">
        <v>1176</v>
      </c>
      <c r="C151" t="s">
        <v>1181</v>
      </c>
      <c r="D151" t="s">
        <v>1182</v>
      </c>
      <c r="E151">
        <v>31991162835</v>
      </c>
      <c r="F151" s="4">
        <v>55</v>
      </c>
      <c r="G151" s="4" t="str">
        <f t="shared" si="2"/>
        <v>5531991162835</v>
      </c>
      <c r="H151" t="s">
        <v>2789</v>
      </c>
      <c r="I151" t="s">
        <v>14</v>
      </c>
      <c r="J151" t="s">
        <v>17</v>
      </c>
      <c r="K151" t="s">
        <v>16</v>
      </c>
      <c r="L151" t="s">
        <v>1183</v>
      </c>
      <c r="M151" t="s">
        <v>1184</v>
      </c>
      <c r="N151" t="s">
        <v>1185</v>
      </c>
    </row>
    <row r="152" spans="1:14">
      <c r="A152" t="s">
        <v>1186</v>
      </c>
      <c r="B152" t="s">
        <v>1176</v>
      </c>
      <c r="C152" t="s">
        <v>1187</v>
      </c>
      <c r="D152" t="s">
        <v>1188</v>
      </c>
      <c r="E152">
        <v>11954788091</v>
      </c>
      <c r="F152" s="4">
        <v>55</v>
      </c>
      <c r="G152" s="4" t="str">
        <f t="shared" si="2"/>
        <v>5511954788091</v>
      </c>
      <c r="H152" t="s">
        <v>2780</v>
      </c>
      <c r="I152" t="s">
        <v>14</v>
      </c>
      <c r="J152" t="s">
        <v>37</v>
      </c>
      <c r="K152" t="s">
        <v>16</v>
      </c>
      <c r="L152" t="s">
        <v>1189</v>
      </c>
      <c r="M152" t="s">
        <v>1190</v>
      </c>
      <c r="N152" t="s">
        <v>1187</v>
      </c>
    </row>
    <row r="153" spans="1:14">
      <c r="A153" t="s">
        <v>1191</v>
      </c>
      <c r="B153" t="s">
        <v>1176</v>
      </c>
      <c r="C153" t="s">
        <v>1192</v>
      </c>
      <c r="D153" t="s">
        <v>1193</v>
      </c>
      <c r="E153">
        <v>11977318242</v>
      </c>
      <c r="F153" s="4">
        <v>55</v>
      </c>
      <c r="G153" s="4" t="str">
        <f t="shared" si="2"/>
        <v>5511977318242</v>
      </c>
      <c r="H153" t="s">
        <v>2780</v>
      </c>
      <c r="I153" t="s">
        <v>14</v>
      </c>
      <c r="J153" t="s">
        <v>15</v>
      </c>
      <c r="K153" t="s">
        <v>16</v>
      </c>
      <c r="L153" t="s">
        <v>1194</v>
      </c>
      <c r="M153" t="s">
        <v>1195</v>
      </c>
      <c r="N153" t="s">
        <v>1196</v>
      </c>
    </row>
    <row r="154" spans="1:14">
      <c r="A154" t="s">
        <v>1197</v>
      </c>
      <c r="B154" t="s">
        <v>1176</v>
      </c>
      <c r="C154" t="s">
        <v>1198</v>
      </c>
      <c r="D154" t="s">
        <v>33</v>
      </c>
      <c r="E154">
        <v>11991915530</v>
      </c>
      <c r="F154" s="4">
        <v>55</v>
      </c>
      <c r="G154" s="4" t="str">
        <f t="shared" si="2"/>
        <v>5511991915530</v>
      </c>
      <c r="H154" t="s">
        <v>2780</v>
      </c>
      <c r="I154" t="s">
        <v>14</v>
      </c>
      <c r="J154" t="s">
        <v>18</v>
      </c>
      <c r="K154" t="s">
        <v>16</v>
      </c>
      <c r="L154" t="s">
        <v>1199</v>
      </c>
      <c r="M154" t="s">
        <v>1200</v>
      </c>
      <c r="N154" t="s">
        <v>1201</v>
      </c>
    </row>
    <row r="155" spans="1:14">
      <c r="A155" t="s">
        <v>1202</v>
      </c>
      <c r="B155" t="s">
        <v>1203</v>
      </c>
      <c r="C155" t="s">
        <v>1204</v>
      </c>
      <c r="D155" t="s">
        <v>1205</v>
      </c>
      <c r="E155">
        <v>12996323535</v>
      </c>
      <c r="F155" s="4">
        <v>55</v>
      </c>
      <c r="G155" s="4" t="str">
        <f t="shared" si="2"/>
        <v>5512996323535</v>
      </c>
      <c r="H155" t="s">
        <v>2780</v>
      </c>
      <c r="I155" t="s">
        <v>14</v>
      </c>
      <c r="J155" t="s">
        <v>19</v>
      </c>
      <c r="K155" t="s">
        <v>16</v>
      </c>
      <c r="L155" t="s">
        <v>1206</v>
      </c>
      <c r="M155" t="s">
        <v>1207</v>
      </c>
      <c r="N155" t="s">
        <v>1208</v>
      </c>
    </row>
    <row r="156" spans="1:14">
      <c r="A156" t="s">
        <v>1209</v>
      </c>
      <c r="B156" t="s">
        <v>1203</v>
      </c>
      <c r="C156" t="s">
        <v>1210</v>
      </c>
      <c r="D156" t="s">
        <v>1211</v>
      </c>
      <c r="E156">
        <v>35984098169</v>
      </c>
      <c r="F156" s="4">
        <v>55</v>
      </c>
      <c r="G156" s="4" t="str">
        <f t="shared" si="2"/>
        <v>5535984098169</v>
      </c>
      <c r="H156" t="s">
        <v>2781</v>
      </c>
      <c r="I156" t="s">
        <v>14</v>
      </c>
      <c r="J156" t="s">
        <v>19</v>
      </c>
      <c r="K156" t="s">
        <v>16</v>
      </c>
      <c r="L156" t="s">
        <v>1212</v>
      </c>
      <c r="M156" t="s">
        <v>405</v>
      </c>
      <c r="N156" t="s">
        <v>405</v>
      </c>
    </row>
    <row r="157" spans="1:14">
      <c r="A157" t="s">
        <v>1213</v>
      </c>
      <c r="B157" t="s">
        <v>1203</v>
      </c>
      <c r="C157" t="s">
        <v>1214</v>
      </c>
      <c r="D157" t="s">
        <v>1215</v>
      </c>
      <c r="E157">
        <v>11955832040</v>
      </c>
      <c r="F157" s="4">
        <v>55</v>
      </c>
      <c r="G157" s="4" t="str">
        <f t="shared" si="2"/>
        <v>5511955832040</v>
      </c>
      <c r="H157" t="s">
        <v>2793</v>
      </c>
      <c r="I157" t="s">
        <v>14</v>
      </c>
      <c r="J157" t="s">
        <v>18</v>
      </c>
      <c r="K157" t="s">
        <v>16</v>
      </c>
      <c r="L157" t="s">
        <v>1216</v>
      </c>
      <c r="M157" t="s">
        <v>1217</v>
      </c>
      <c r="N157" t="s">
        <v>1218</v>
      </c>
    </row>
    <row r="158" spans="1:14">
      <c r="A158" t="s">
        <v>1219</v>
      </c>
      <c r="B158" t="s">
        <v>1203</v>
      </c>
      <c r="C158" t="s">
        <v>1220</v>
      </c>
      <c r="D158" t="s">
        <v>1221</v>
      </c>
      <c r="E158">
        <v>12988444025</v>
      </c>
      <c r="F158" s="4">
        <v>55</v>
      </c>
      <c r="G158" s="4" t="str">
        <f t="shared" si="2"/>
        <v>5512988444025</v>
      </c>
      <c r="H158" t="s">
        <v>2789</v>
      </c>
      <c r="I158" t="s">
        <v>14</v>
      </c>
      <c r="J158" t="s">
        <v>19</v>
      </c>
      <c r="K158" t="s">
        <v>16</v>
      </c>
      <c r="L158" t="s">
        <v>1222</v>
      </c>
      <c r="M158" t="s">
        <v>1223</v>
      </c>
      <c r="N158" t="s">
        <v>1224</v>
      </c>
    </row>
    <row r="159" spans="1:14">
      <c r="A159" t="s">
        <v>1225</v>
      </c>
      <c r="B159" t="s">
        <v>1226</v>
      </c>
      <c r="C159" t="s">
        <v>1227</v>
      </c>
      <c r="D159" t="s">
        <v>1228</v>
      </c>
      <c r="E159">
        <v>11940097468</v>
      </c>
      <c r="F159" s="4">
        <v>55</v>
      </c>
      <c r="G159" s="4" t="str">
        <f t="shared" si="2"/>
        <v>5511940097468</v>
      </c>
      <c r="H159" t="s">
        <v>2788</v>
      </c>
      <c r="I159" t="s">
        <v>14</v>
      </c>
      <c r="J159" t="s">
        <v>1229</v>
      </c>
      <c r="K159" t="s">
        <v>16</v>
      </c>
      <c r="L159" t="s">
        <v>1230</v>
      </c>
      <c r="M159" t="s">
        <v>1231</v>
      </c>
      <c r="N159" t="s">
        <v>1232</v>
      </c>
    </row>
    <row r="160" spans="1:14">
      <c r="A160" t="s">
        <v>1233</v>
      </c>
      <c r="B160" t="s">
        <v>1226</v>
      </c>
      <c r="C160" t="s">
        <v>1234</v>
      </c>
      <c r="D160" t="s">
        <v>1235</v>
      </c>
      <c r="F160" s="4">
        <v>55</v>
      </c>
      <c r="G160" s="4" t="str">
        <f t="shared" si="2"/>
        <v>55</v>
      </c>
      <c r="H160" t="s">
        <v>2786</v>
      </c>
      <c r="I160" t="s">
        <v>14</v>
      </c>
      <c r="J160" t="s">
        <v>19</v>
      </c>
      <c r="K160" t="s">
        <v>16</v>
      </c>
      <c r="L160" t="s">
        <v>1236</v>
      </c>
      <c r="M160" t="s">
        <v>405</v>
      </c>
      <c r="N160" t="s">
        <v>405</v>
      </c>
    </row>
    <row r="161" spans="1:14">
      <c r="A161" t="s">
        <v>1237</v>
      </c>
      <c r="B161" t="s">
        <v>1226</v>
      </c>
      <c r="C161" t="s">
        <v>1238</v>
      </c>
      <c r="D161" t="s">
        <v>1239</v>
      </c>
      <c r="E161">
        <v>1130420098</v>
      </c>
      <c r="F161" s="4">
        <v>55</v>
      </c>
      <c r="G161" s="4" t="str">
        <f t="shared" si="2"/>
        <v>551130420098</v>
      </c>
      <c r="H161" t="s">
        <v>2782</v>
      </c>
      <c r="I161" t="s">
        <v>14</v>
      </c>
      <c r="J161" t="s">
        <v>18</v>
      </c>
      <c r="K161" t="s">
        <v>16</v>
      </c>
      <c r="L161" t="s">
        <v>1240</v>
      </c>
      <c r="M161" t="s">
        <v>405</v>
      </c>
      <c r="N161" t="s">
        <v>405</v>
      </c>
    </row>
    <row r="162" spans="1:14">
      <c r="A162" t="s">
        <v>1241</v>
      </c>
      <c r="B162" t="s">
        <v>1226</v>
      </c>
      <c r="C162" t="s">
        <v>1242</v>
      </c>
      <c r="D162" t="s">
        <v>1243</v>
      </c>
      <c r="E162">
        <v>12992446720</v>
      </c>
      <c r="F162" s="4">
        <v>55</v>
      </c>
      <c r="G162" s="4" t="str">
        <f t="shared" si="2"/>
        <v>5512992446720</v>
      </c>
      <c r="H162" t="s">
        <v>2780</v>
      </c>
      <c r="I162" t="s">
        <v>14</v>
      </c>
      <c r="J162" t="s">
        <v>19</v>
      </c>
      <c r="K162" t="s">
        <v>16</v>
      </c>
      <c r="L162" t="s">
        <v>1244</v>
      </c>
      <c r="M162" t="s">
        <v>1245</v>
      </c>
      <c r="N162" t="s">
        <v>1246</v>
      </c>
    </row>
    <row r="163" spans="1:14">
      <c r="A163" t="s">
        <v>1247</v>
      </c>
      <c r="B163" t="s">
        <v>1226</v>
      </c>
      <c r="C163" t="s">
        <v>1248</v>
      </c>
      <c r="D163" t="s">
        <v>1249</v>
      </c>
      <c r="F163" s="4">
        <v>55</v>
      </c>
      <c r="G163" s="4" t="str">
        <f t="shared" si="2"/>
        <v>55</v>
      </c>
      <c r="H163" t="s">
        <v>2780</v>
      </c>
      <c r="I163" t="s">
        <v>14</v>
      </c>
      <c r="J163" t="s">
        <v>15</v>
      </c>
      <c r="K163" t="s">
        <v>16</v>
      </c>
      <c r="L163" t="s">
        <v>1250</v>
      </c>
      <c r="M163" t="s">
        <v>1251</v>
      </c>
      <c r="N163" t="s">
        <v>1252</v>
      </c>
    </row>
    <row r="164" spans="1:14">
      <c r="A164" t="s">
        <v>1253</v>
      </c>
      <c r="B164" t="s">
        <v>1226</v>
      </c>
      <c r="C164" t="s">
        <v>1254</v>
      </c>
      <c r="D164" t="s">
        <v>1255</v>
      </c>
      <c r="E164">
        <v>11995637382</v>
      </c>
      <c r="F164" s="4">
        <v>55</v>
      </c>
      <c r="G164" s="4" t="str">
        <f t="shared" si="2"/>
        <v>5511995637382</v>
      </c>
      <c r="H164" t="s">
        <v>2781</v>
      </c>
      <c r="I164" t="s">
        <v>14</v>
      </c>
      <c r="J164" t="s">
        <v>37</v>
      </c>
      <c r="K164" t="s">
        <v>16</v>
      </c>
      <c r="L164" t="s">
        <v>1256</v>
      </c>
      <c r="M164" t="s">
        <v>405</v>
      </c>
      <c r="N164" t="s">
        <v>405</v>
      </c>
    </row>
    <row r="165" spans="1:14">
      <c r="A165" t="s">
        <v>1257</v>
      </c>
      <c r="B165" t="s">
        <v>1226</v>
      </c>
      <c r="C165" t="s">
        <v>1258</v>
      </c>
      <c r="D165" t="s">
        <v>1259</v>
      </c>
      <c r="E165">
        <v>11963618012</v>
      </c>
      <c r="F165" s="4">
        <v>55</v>
      </c>
      <c r="G165" s="4" t="str">
        <f t="shared" si="2"/>
        <v>5511963618012</v>
      </c>
      <c r="H165" t="s">
        <v>2780</v>
      </c>
      <c r="I165" t="s">
        <v>14</v>
      </c>
      <c r="J165" t="s">
        <v>15</v>
      </c>
      <c r="K165" t="s">
        <v>16</v>
      </c>
      <c r="L165" t="s">
        <v>1260</v>
      </c>
      <c r="M165" t="s">
        <v>1261</v>
      </c>
      <c r="N165" t="s">
        <v>1262</v>
      </c>
    </row>
    <row r="166" spans="1:14">
      <c r="A166" t="s">
        <v>1263</v>
      </c>
      <c r="B166" t="s">
        <v>1226</v>
      </c>
      <c r="C166" t="s">
        <v>1264</v>
      </c>
      <c r="D166" t="s">
        <v>1265</v>
      </c>
      <c r="E166">
        <v>12988866431</v>
      </c>
      <c r="F166" s="4">
        <v>55</v>
      </c>
      <c r="G166" s="4" t="str">
        <f t="shared" si="2"/>
        <v>5512988866431</v>
      </c>
      <c r="H166" t="s">
        <v>2789</v>
      </c>
      <c r="I166" t="s">
        <v>14</v>
      </c>
      <c r="J166" t="s">
        <v>19</v>
      </c>
      <c r="K166" t="s">
        <v>16</v>
      </c>
      <c r="L166" t="s">
        <v>1266</v>
      </c>
      <c r="M166" t="s">
        <v>1267</v>
      </c>
      <c r="N166" t="s">
        <v>1268</v>
      </c>
    </row>
    <row r="167" spans="1:14">
      <c r="A167" t="s">
        <v>1269</v>
      </c>
      <c r="B167" t="s">
        <v>1226</v>
      </c>
      <c r="C167" t="s">
        <v>1270</v>
      </c>
      <c r="D167" t="s">
        <v>54</v>
      </c>
      <c r="E167">
        <v>11910014198</v>
      </c>
      <c r="F167" s="4">
        <v>55</v>
      </c>
      <c r="G167" s="4" t="str">
        <f t="shared" si="2"/>
        <v>5511910014198</v>
      </c>
      <c r="H167" t="s">
        <v>2789</v>
      </c>
      <c r="I167" t="s">
        <v>14</v>
      </c>
      <c r="J167" t="s">
        <v>15</v>
      </c>
      <c r="K167" t="s">
        <v>16</v>
      </c>
      <c r="L167" t="s">
        <v>1271</v>
      </c>
      <c r="M167" t="s">
        <v>1272</v>
      </c>
      <c r="N167" t="s">
        <v>1273</v>
      </c>
    </row>
    <row r="168" spans="1:14">
      <c r="A168" t="s">
        <v>1274</v>
      </c>
      <c r="B168" t="s">
        <v>1226</v>
      </c>
      <c r="C168" t="s">
        <v>1275</v>
      </c>
      <c r="D168" t="s">
        <v>42</v>
      </c>
      <c r="E168">
        <v>11988887738</v>
      </c>
      <c r="F168" s="4">
        <v>55</v>
      </c>
      <c r="G168" s="4" t="str">
        <f t="shared" si="2"/>
        <v>5511988887738</v>
      </c>
      <c r="H168" t="s">
        <v>2789</v>
      </c>
      <c r="I168" t="s">
        <v>14</v>
      </c>
      <c r="J168" t="s">
        <v>19</v>
      </c>
      <c r="K168" t="s">
        <v>16</v>
      </c>
      <c r="L168" t="s">
        <v>1276</v>
      </c>
      <c r="M168" t="s">
        <v>1277</v>
      </c>
      <c r="N168" t="s">
        <v>1278</v>
      </c>
    </row>
    <row r="169" spans="1:14">
      <c r="A169" t="s">
        <v>1279</v>
      </c>
      <c r="B169" t="s">
        <v>1226</v>
      </c>
      <c r="C169" t="s">
        <v>1280</v>
      </c>
      <c r="D169" t="s">
        <v>54</v>
      </c>
      <c r="E169">
        <v>11993573426</v>
      </c>
      <c r="F169" s="4">
        <v>55</v>
      </c>
      <c r="G169" s="4" t="str">
        <f t="shared" si="2"/>
        <v>5511993573426</v>
      </c>
      <c r="H169" t="s">
        <v>2780</v>
      </c>
      <c r="I169" t="s">
        <v>14</v>
      </c>
      <c r="J169" t="s">
        <v>15</v>
      </c>
      <c r="K169" t="s">
        <v>16</v>
      </c>
      <c r="L169" t="s">
        <v>1281</v>
      </c>
      <c r="M169" t="s">
        <v>1282</v>
      </c>
      <c r="N169" t="s">
        <v>1283</v>
      </c>
    </row>
    <row r="170" spans="1:14">
      <c r="A170" t="s">
        <v>1284</v>
      </c>
      <c r="B170" t="s">
        <v>1226</v>
      </c>
      <c r="C170" t="s">
        <v>1285</v>
      </c>
      <c r="D170" t="s">
        <v>1286</v>
      </c>
      <c r="E170">
        <v>12981428952</v>
      </c>
      <c r="F170" s="4">
        <v>55</v>
      </c>
      <c r="G170" s="4" t="str">
        <f t="shared" si="2"/>
        <v>5512981428952</v>
      </c>
      <c r="H170" t="s">
        <v>2789</v>
      </c>
      <c r="I170" t="s">
        <v>14</v>
      </c>
      <c r="J170" t="s">
        <v>19</v>
      </c>
      <c r="K170" t="s">
        <v>16</v>
      </c>
      <c r="L170" t="s">
        <v>1287</v>
      </c>
      <c r="M170" t="s">
        <v>1288</v>
      </c>
      <c r="N170" t="s">
        <v>1289</v>
      </c>
    </row>
    <row r="171" spans="1:14">
      <c r="A171" t="s">
        <v>1290</v>
      </c>
      <c r="B171" t="s">
        <v>1226</v>
      </c>
      <c r="C171" t="s">
        <v>1291</v>
      </c>
      <c r="D171" t="s">
        <v>1292</v>
      </c>
      <c r="E171">
        <v>11941427465</v>
      </c>
      <c r="F171" s="4">
        <v>55</v>
      </c>
      <c r="G171" s="4" t="str">
        <f t="shared" si="2"/>
        <v>5511941427465</v>
      </c>
      <c r="H171" t="s">
        <v>2780</v>
      </c>
      <c r="I171" t="s">
        <v>14</v>
      </c>
      <c r="J171" t="s">
        <v>18</v>
      </c>
      <c r="K171" t="s">
        <v>16</v>
      </c>
      <c r="L171" t="s">
        <v>1293</v>
      </c>
      <c r="M171" t="s">
        <v>1294</v>
      </c>
      <c r="N171" t="s">
        <v>1295</v>
      </c>
    </row>
    <row r="172" spans="1:14">
      <c r="A172" t="s">
        <v>1296</v>
      </c>
      <c r="B172" t="s">
        <v>1226</v>
      </c>
      <c r="C172" t="s">
        <v>1280</v>
      </c>
      <c r="D172" t="s">
        <v>54</v>
      </c>
      <c r="E172">
        <v>11993573426</v>
      </c>
      <c r="F172" s="4">
        <v>55</v>
      </c>
      <c r="G172" s="4" t="str">
        <f t="shared" si="2"/>
        <v>5511993573426</v>
      </c>
      <c r="H172" t="s">
        <v>2780</v>
      </c>
      <c r="I172" t="s">
        <v>14</v>
      </c>
      <c r="J172" t="s">
        <v>15</v>
      </c>
      <c r="K172" t="s">
        <v>16</v>
      </c>
      <c r="L172" t="s">
        <v>1281</v>
      </c>
      <c r="M172" t="s">
        <v>1297</v>
      </c>
      <c r="N172" t="s">
        <v>1283</v>
      </c>
    </row>
    <row r="173" spans="1:14">
      <c r="A173" t="s">
        <v>1298</v>
      </c>
      <c r="B173" t="s">
        <v>1226</v>
      </c>
      <c r="C173" t="s">
        <v>1299</v>
      </c>
      <c r="D173" t="s">
        <v>1300</v>
      </c>
      <c r="E173">
        <v>1145436567</v>
      </c>
      <c r="F173" s="4">
        <v>55</v>
      </c>
      <c r="G173" s="4" t="str">
        <f t="shared" si="2"/>
        <v>551145436567</v>
      </c>
      <c r="H173" t="s">
        <v>2780</v>
      </c>
      <c r="I173" t="s">
        <v>14</v>
      </c>
      <c r="J173" t="s">
        <v>15</v>
      </c>
      <c r="K173" t="s">
        <v>16</v>
      </c>
      <c r="L173" t="s">
        <v>1301</v>
      </c>
      <c r="M173" t="s">
        <v>1302</v>
      </c>
      <c r="N173" t="s">
        <v>1303</v>
      </c>
    </row>
    <row r="174" spans="1:14">
      <c r="A174" t="s">
        <v>1304</v>
      </c>
      <c r="B174" t="s">
        <v>1226</v>
      </c>
      <c r="C174" t="s">
        <v>1305</v>
      </c>
      <c r="D174" t="s">
        <v>1306</v>
      </c>
      <c r="E174">
        <v>11988417676</v>
      </c>
      <c r="F174" s="4">
        <v>55</v>
      </c>
      <c r="G174" s="4" t="str">
        <f t="shared" si="2"/>
        <v>5511988417676</v>
      </c>
      <c r="H174" t="s">
        <v>2780</v>
      </c>
      <c r="I174" t="s">
        <v>14</v>
      </c>
      <c r="J174" t="s">
        <v>15</v>
      </c>
      <c r="K174" t="s">
        <v>16</v>
      </c>
      <c r="L174" t="s">
        <v>1307</v>
      </c>
      <c r="M174" t="s">
        <v>1308</v>
      </c>
      <c r="N174" t="s">
        <v>1309</v>
      </c>
    </row>
    <row r="175" spans="1:14">
      <c r="A175" t="s">
        <v>1310</v>
      </c>
      <c r="B175" t="s">
        <v>1226</v>
      </c>
      <c r="C175" t="s">
        <v>1311</v>
      </c>
      <c r="D175" t="s">
        <v>1312</v>
      </c>
      <c r="E175">
        <v>11998038754</v>
      </c>
      <c r="F175" s="4">
        <v>55</v>
      </c>
      <c r="G175" s="4" t="str">
        <f t="shared" si="2"/>
        <v>5511998038754</v>
      </c>
      <c r="H175" t="s">
        <v>2780</v>
      </c>
      <c r="I175" t="s">
        <v>14</v>
      </c>
      <c r="J175" t="s">
        <v>18</v>
      </c>
      <c r="K175" t="s">
        <v>16</v>
      </c>
      <c r="L175" t="s">
        <v>1313</v>
      </c>
      <c r="M175" t="s">
        <v>1314</v>
      </c>
      <c r="N175" t="s">
        <v>1315</v>
      </c>
    </row>
    <row r="176" spans="1:14">
      <c r="A176" t="s">
        <v>1316</v>
      </c>
      <c r="B176" t="s">
        <v>1317</v>
      </c>
      <c r="C176" t="s">
        <v>1318</v>
      </c>
      <c r="D176" t="s">
        <v>1319</v>
      </c>
      <c r="E176">
        <v>13988235758</v>
      </c>
      <c r="F176" s="4">
        <v>55</v>
      </c>
      <c r="G176" s="4" t="str">
        <f t="shared" si="2"/>
        <v>5513988235758</v>
      </c>
      <c r="H176" t="s">
        <v>2787</v>
      </c>
      <c r="I176" t="s">
        <v>14</v>
      </c>
      <c r="J176" t="s">
        <v>20</v>
      </c>
      <c r="K176" t="s">
        <v>16</v>
      </c>
      <c r="L176" t="s">
        <v>1320</v>
      </c>
      <c r="M176" t="s">
        <v>1321</v>
      </c>
      <c r="N176" t="s">
        <v>1322</v>
      </c>
    </row>
    <row r="177" spans="1:14">
      <c r="A177" t="s">
        <v>1323</v>
      </c>
      <c r="B177" t="s">
        <v>1317</v>
      </c>
      <c r="C177" t="s">
        <v>1324</v>
      </c>
      <c r="D177" t="s">
        <v>1325</v>
      </c>
      <c r="E177">
        <v>31992341305</v>
      </c>
      <c r="F177" s="4">
        <v>55</v>
      </c>
      <c r="G177" s="4" t="str">
        <f t="shared" si="2"/>
        <v>5531992341305</v>
      </c>
      <c r="H177" t="s">
        <v>2787</v>
      </c>
      <c r="I177" t="s">
        <v>14</v>
      </c>
      <c r="J177" t="s">
        <v>17</v>
      </c>
      <c r="K177" t="s">
        <v>16</v>
      </c>
      <c r="L177" t="s">
        <v>1326</v>
      </c>
      <c r="M177" t="s">
        <v>1327</v>
      </c>
      <c r="N177" t="s">
        <v>1328</v>
      </c>
    </row>
    <row r="178" spans="1:14">
      <c r="A178" t="s">
        <v>1329</v>
      </c>
      <c r="B178" t="s">
        <v>1317</v>
      </c>
      <c r="C178" t="s">
        <v>1330</v>
      </c>
      <c r="D178" t="s">
        <v>1331</v>
      </c>
      <c r="E178">
        <v>35984414149</v>
      </c>
      <c r="F178" s="4">
        <v>55</v>
      </c>
      <c r="G178" s="4" t="str">
        <f t="shared" si="2"/>
        <v>5535984414149</v>
      </c>
      <c r="H178" t="s">
        <v>2786</v>
      </c>
      <c r="I178" t="s">
        <v>14</v>
      </c>
      <c r="J178" t="s">
        <v>101</v>
      </c>
      <c r="K178" t="s">
        <v>16</v>
      </c>
      <c r="L178" t="s">
        <v>1332</v>
      </c>
      <c r="M178" t="s">
        <v>405</v>
      </c>
      <c r="N178" t="s">
        <v>405</v>
      </c>
    </row>
    <row r="179" spans="1:14">
      <c r="A179" t="s">
        <v>1333</v>
      </c>
      <c r="B179" t="s">
        <v>1317</v>
      </c>
      <c r="C179" t="s">
        <v>1334</v>
      </c>
      <c r="D179" t="s">
        <v>1335</v>
      </c>
      <c r="E179">
        <v>11940083696</v>
      </c>
      <c r="F179" s="4">
        <v>55</v>
      </c>
      <c r="G179" s="4" t="str">
        <f t="shared" si="2"/>
        <v>5511940083696</v>
      </c>
      <c r="H179" t="s">
        <v>2789</v>
      </c>
      <c r="I179" t="s">
        <v>14</v>
      </c>
      <c r="J179" t="s">
        <v>37</v>
      </c>
      <c r="K179" t="s">
        <v>16</v>
      </c>
      <c r="L179" t="s">
        <v>1336</v>
      </c>
      <c r="M179" t="s">
        <v>1337</v>
      </c>
      <c r="N179" t="s">
        <v>1338</v>
      </c>
    </row>
    <row r="180" spans="1:14">
      <c r="A180" t="s">
        <v>1339</v>
      </c>
      <c r="B180" t="s">
        <v>1317</v>
      </c>
      <c r="C180" t="s">
        <v>1340</v>
      </c>
      <c r="D180" t="s">
        <v>42</v>
      </c>
      <c r="E180">
        <v>11976777132</v>
      </c>
      <c r="F180" s="4">
        <v>55</v>
      </c>
      <c r="G180" s="4" t="str">
        <f t="shared" si="2"/>
        <v>5511976777132</v>
      </c>
      <c r="H180" t="s">
        <v>2789</v>
      </c>
      <c r="I180" t="s">
        <v>14</v>
      </c>
      <c r="J180" t="s">
        <v>19</v>
      </c>
      <c r="K180" t="s">
        <v>16</v>
      </c>
      <c r="L180" t="s">
        <v>1341</v>
      </c>
      <c r="M180" t="s">
        <v>1342</v>
      </c>
      <c r="N180" t="s">
        <v>1343</v>
      </c>
    </row>
    <row r="181" spans="1:14">
      <c r="A181" t="s">
        <v>1344</v>
      </c>
      <c r="B181" t="s">
        <v>1317</v>
      </c>
      <c r="C181" t="s">
        <v>1345</v>
      </c>
      <c r="D181" t="s">
        <v>1346</v>
      </c>
      <c r="E181">
        <v>11983839002</v>
      </c>
      <c r="F181" s="4">
        <v>55</v>
      </c>
      <c r="G181" s="4" t="str">
        <f t="shared" si="2"/>
        <v>5511983839002</v>
      </c>
      <c r="H181" t="s">
        <v>2780</v>
      </c>
      <c r="I181" t="s">
        <v>14</v>
      </c>
      <c r="J181" t="s">
        <v>18</v>
      </c>
      <c r="K181" t="s">
        <v>16</v>
      </c>
      <c r="L181" t="s">
        <v>1347</v>
      </c>
      <c r="M181" t="s">
        <v>1348</v>
      </c>
      <c r="N181" t="s">
        <v>1349</v>
      </c>
    </row>
    <row r="182" spans="1:14">
      <c r="A182" t="s">
        <v>1350</v>
      </c>
      <c r="B182" t="s">
        <v>1317</v>
      </c>
      <c r="C182" t="s">
        <v>394</v>
      </c>
      <c r="D182" t="s">
        <v>30</v>
      </c>
      <c r="E182">
        <v>11998007650</v>
      </c>
      <c r="F182" s="4">
        <v>55</v>
      </c>
      <c r="G182" s="4" t="str">
        <f t="shared" si="2"/>
        <v>5511998007650</v>
      </c>
      <c r="H182" t="s">
        <v>2789</v>
      </c>
      <c r="I182" t="s">
        <v>14</v>
      </c>
      <c r="J182" t="s">
        <v>19</v>
      </c>
      <c r="K182" t="s">
        <v>16</v>
      </c>
      <c r="L182" t="s">
        <v>395</v>
      </c>
      <c r="M182" t="s">
        <v>1351</v>
      </c>
      <c r="N182" t="s">
        <v>1352</v>
      </c>
    </row>
    <row r="183" spans="1:14">
      <c r="A183" t="s">
        <v>1353</v>
      </c>
      <c r="B183" t="s">
        <v>1317</v>
      </c>
      <c r="C183" t="s">
        <v>1354</v>
      </c>
      <c r="D183" t="s">
        <v>1355</v>
      </c>
      <c r="E183">
        <v>11969406163</v>
      </c>
      <c r="F183" s="4">
        <v>55</v>
      </c>
      <c r="G183" s="4" t="str">
        <f t="shared" si="2"/>
        <v>5511969406163</v>
      </c>
      <c r="H183" t="s">
        <v>2789</v>
      </c>
      <c r="I183" t="s">
        <v>14</v>
      </c>
      <c r="J183" t="s">
        <v>19</v>
      </c>
      <c r="K183" t="s">
        <v>16</v>
      </c>
      <c r="L183" t="s">
        <v>1356</v>
      </c>
      <c r="M183" t="s">
        <v>1357</v>
      </c>
      <c r="N183" t="s">
        <v>1358</v>
      </c>
    </row>
    <row r="184" spans="1:14">
      <c r="A184" t="s">
        <v>1359</v>
      </c>
      <c r="B184" t="s">
        <v>1317</v>
      </c>
      <c r="C184" t="s">
        <v>1360</v>
      </c>
      <c r="D184" t="s">
        <v>1361</v>
      </c>
      <c r="E184">
        <v>12982138684</v>
      </c>
      <c r="F184" s="4">
        <v>55</v>
      </c>
      <c r="G184" s="4" t="str">
        <f t="shared" si="2"/>
        <v>5512982138684</v>
      </c>
      <c r="H184" t="s">
        <v>2780</v>
      </c>
      <c r="I184" t="s">
        <v>14</v>
      </c>
      <c r="J184" t="s">
        <v>19</v>
      </c>
      <c r="K184" t="s">
        <v>16</v>
      </c>
      <c r="L184" t="s">
        <v>1362</v>
      </c>
      <c r="M184" t="s">
        <v>1363</v>
      </c>
      <c r="N184" t="s">
        <v>1364</v>
      </c>
    </row>
    <row r="185" spans="1:14">
      <c r="A185" t="s">
        <v>1365</v>
      </c>
      <c r="B185" t="s">
        <v>1317</v>
      </c>
      <c r="C185" t="s">
        <v>1366</v>
      </c>
      <c r="D185" t="s">
        <v>42</v>
      </c>
      <c r="E185">
        <v>11970267987</v>
      </c>
      <c r="F185" s="4">
        <v>55</v>
      </c>
      <c r="G185" s="4" t="str">
        <f t="shared" si="2"/>
        <v>5511970267987</v>
      </c>
      <c r="H185" t="s">
        <v>2789</v>
      </c>
      <c r="I185" t="s">
        <v>14</v>
      </c>
      <c r="J185" t="s">
        <v>19</v>
      </c>
      <c r="K185" t="s">
        <v>16</v>
      </c>
      <c r="L185" t="s">
        <v>1367</v>
      </c>
      <c r="M185" t="s">
        <v>1368</v>
      </c>
      <c r="N185" t="s">
        <v>1369</v>
      </c>
    </row>
    <row r="186" spans="1:14">
      <c r="A186" t="s">
        <v>1370</v>
      </c>
      <c r="B186" t="s">
        <v>1317</v>
      </c>
      <c r="C186" t="s">
        <v>1371</v>
      </c>
      <c r="D186" t="s">
        <v>1372</v>
      </c>
      <c r="E186">
        <v>31995892002</v>
      </c>
      <c r="F186" s="4">
        <v>55</v>
      </c>
      <c r="G186" s="4" t="str">
        <f t="shared" si="2"/>
        <v>5531995892002</v>
      </c>
      <c r="H186" t="s">
        <v>2789</v>
      </c>
      <c r="I186" t="s">
        <v>14</v>
      </c>
      <c r="J186" t="s">
        <v>17</v>
      </c>
      <c r="K186" t="s">
        <v>16</v>
      </c>
      <c r="L186" t="s">
        <v>1373</v>
      </c>
      <c r="M186" t="s">
        <v>1374</v>
      </c>
      <c r="N186" t="s">
        <v>1375</v>
      </c>
    </row>
    <row r="187" spans="1:14">
      <c r="A187" t="s">
        <v>1376</v>
      </c>
      <c r="B187" t="s">
        <v>1317</v>
      </c>
      <c r="C187" t="s">
        <v>1377</v>
      </c>
      <c r="D187" t="s">
        <v>42</v>
      </c>
      <c r="E187">
        <v>21996847000</v>
      </c>
      <c r="F187" s="4">
        <v>55</v>
      </c>
      <c r="G187" s="4" t="str">
        <f t="shared" si="2"/>
        <v>5521996847000</v>
      </c>
      <c r="H187" t="s">
        <v>2780</v>
      </c>
      <c r="I187" t="s">
        <v>14</v>
      </c>
      <c r="J187" t="s">
        <v>19</v>
      </c>
      <c r="K187" t="s">
        <v>16</v>
      </c>
      <c r="L187" t="s">
        <v>1378</v>
      </c>
      <c r="M187" t="s">
        <v>1379</v>
      </c>
      <c r="N187" t="s">
        <v>1380</v>
      </c>
    </row>
    <row r="188" spans="1:14">
      <c r="A188" t="s">
        <v>1381</v>
      </c>
      <c r="B188" t="s">
        <v>1317</v>
      </c>
      <c r="C188" t="s">
        <v>1382</v>
      </c>
      <c r="D188" t="s">
        <v>403</v>
      </c>
      <c r="E188">
        <v>11972856697</v>
      </c>
      <c r="F188" s="4">
        <v>55</v>
      </c>
      <c r="G188" s="4" t="str">
        <f t="shared" si="2"/>
        <v>5511972856697</v>
      </c>
      <c r="H188" t="s">
        <v>2780</v>
      </c>
      <c r="I188" t="s">
        <v>14</v>
      </c>
      <c r="J188" t="s">
        <v>18</v>
      </c>
      <c r="K188" t="s">
        <v>16</v>
      </c>
      <c r="L188" t="s">
        <v>1383</v>
      </c>
      <c r="M188" t="s">
        <v>1384</v>
      </c>
      <c r="N188" t="s">
        <v>1385</v>
      </c>
    </row>
    <row r="189" spans="1:14">
      <c r="A189" t="s">
        <v>1386</v>
      </c>
      <c r="B189" t="s">
        <v>1317</v>
      </c>
      <c r="C189" t="s">
        <v>1387</v>
      </c>
      <c r="D189" t="s">
        <v>33</v>
      </c>
      <c r="E189">
        <v>11971878787</v>
      </c>
      <c r="F189" s="4">
        <v>55</v>
      </c>
      <c r="G189" s="4" t="str">
        <f t="shared" si="2"/>
        <v>5511971878787</v>
      </c>
      <c r="H189" t="s">
        <v>2778</v>
      </c>
      <c r="I189" t="s">
        <v>14</v>
      </c>
      <c r="J189" t="s">
        <v>18</v>
      </c>
      <c r="K189" t="s">
        <v>16</v>
      </c>
      <c r="L189" t="s">
        <v>1388</v>
      </c>
      <c r="M189" t="s">
        <v>1389</v>
      </c>
      <c r="N189" t="s">
        <v>1390</v>
      </c>
    </row>
    <row r="190" spans="1:14">
      <c r="A190" t="s">
        <v>1391</v>
      </c>
      <c r="B190" t="s">
        <v>1317</v>
      </c>
      <c r="C190" t="s">
        <v>399</v>
      </c>
      <c r="D190" t="s">
        <v>400</v>
      </c>
      <c r="F190" s="4">
        <v>55</v>
      </c>
      <c r="G190" s="4" t="str">
        <f t="shared" si="2"/>
        <v>55</v>
      </c>
      <c r="H190" t="s">
        <v>2781</v>
      </c>
      <c r="I190" t="s">
        <v>14</v>
      </c>
      <c r="J190" t="s">
        <v>19</v>
      </c>
      <c r="K190" t="s">
        <v>16</v>
      </c>
      <c r="L190" t="s">
        <v>401</v>
      </c>
      <c r="M190" t="s">
        <v>405</v>
      </c>
      <c r="N190" t="s">
        <v>405</v>
      </c>
    </row>
    <row r="191" spans="1:14">
      <c r="A191" t="s">
        <v>1392</v>
      </c>
      <c r="B191" t="s">
        <v>1317</v>
      </c>
      <c r="C191" t="s">
        <v>1393</v>
      </c>
      <c r="D191" t="s">
        <v>54</v>
      </c>
      <c r="E191">
        <v>11982176872</v>
      </c>
      <c r="F191" s="4">
        <v>55</v>
      </c>
      <c r="G191" s="4" t="str">
        <f t="shared" si="2"/>
        <v>5511982176872</v>
      </c>
      <c r="H191" t="s">
        <v>2789</v>
      </c>
      <c r="I191" t="s">
        <v>14</v>
      </c>
      <c r="J191" t="s">
        <v>15</v>
      </c>
      <c r="K191" t="s">
        <v>16</v>
      </c>
      <c r="L191" t="s">
        <v>1394</v>
      </c>
      <c r="M191" t="s">
        <v>1395</v>
      </c>
      <c r="N191" t="s">
        <v>1396</v>
      </c>
    </row>
    <row r="192" spans="1:14">
      <c r="A192" t="s">
        <v>1397</v>
      </c>
      <c r="B192" t="s">
        <v>1317</v>
      </c>
      <c r="C192" t="s">
        <v>1398</v>
      </c>
      <c r="D192" t="s">
        <v>1399</v>
      </c>
      <c r="E192">
        <v>12982671485</v>
      </c>
      <c r="F192" s="4">
        <v>55</v>
      </c>
      <c r="G192" s="4" t="str">
        <f t="shared" si="2"/>
        <v>5512982671485</v>
      </c>
      <c r="H192" t="s">
        <v>2780</v>
      </c>
      <c r="I192" t="s">
        <v>14</v>
      </c>
      <c r="J192" t="s">
        <v>19</v>
      </c>
      <c r="K192" t="s">
        <v>16</v>
      </c>
      <c r="L192" t="s">
        <v>1400</v>
      </c>
      <c r="M192" t="s">
        <v>1401</v>
      </c>
      <c r="N192" t="s">
        <v>1402</v>
      </c>
    </row>
    <row r="193" spans="1:14">
      <c r="A193" t="s">
        <v>1403</v>
      </c>
      <c r="B193" t="s">
        <v>1317</v>
      </c>
      <c r="C193" t="s">
        <v>1404</v>
      </c>
      <c r="D193" t="s">
        <v>1405</v>
      </c>
      <c r="E193">
        <v>11967172420</v>
      </c>
      <c r="F193" s="4">
        <v>55</v>
      </c>
      <c r="G193" s="4" t="str">
        <f t="shared" si="2"/>
        <v>5511967172420</v>
      </c>
      <c r="H193" t="s">
        <v>2781</v>
      </c>
      <c r="I193" t="s">
        <v>14</v>
      </c>
      <c r="J193" t="s">
        <v>19</v>
      </c>
      <c r="K193" t="s">
        <v>16</v>
      </c>
      <c r="L193" t="s">
        <v>1406</v>
      </c>
      <c r="M193" t="s">
        <v>405</v>
      </c>
      <c r="N193" t="s">
        <v>405</v>
      </c>
    </row>
    <row r="194" spans="1:14">
      <c r="A194" t="s">
        <v>1407</v>
      </c>
      <c r="B194" t="s">
        <v>1317</v>
      </c>
      <c r="C194" t="s">
        <v>1408</v>
      </c>
      <c r="D194" t="s">
        <v>1409</v>
      </c>
      <c r="E194">
        <v>12982864576</v>
      </c>
      <c r="F194" s="4">
        <v>55</v>
      </c>
      <c r="G194" s="4" t="str">
        <f t="shared" si="2"/>
        <v>5512982864576</v>
      </c>
      <c r="H194" t="s">
        <v>2789</v>
      </c>
      <c r="I194" t="s">
        <v>14</v>
      </c>
      <c r="J194" t="s">
        <v>19</v>
      </c>
      <c r="K194" t="s">
        <v>16</v>
      </c>
      <c r="L194" t="s">
        <v>1410</v>
      </c>
      <c r="M194" t="s">
        <v>1411</v>
      </c>
      <c r="N194" t="s">
        <v>1412</v>
      </c>
    </row>
    <row r="195" spans="1:14">
      <c r="A195" t="s">
        <v>1413</v>
      </c>
      <c r="B195" t="s">
        <v>1317</v>
      </c>
      <c r="C195" t="s">
        <v>1414</v>
      </c>
      <c r="D195" t="s">
        <v>1415</v>
      </c>
      <c r="E195">
        <v>11999998017</v>
      </c>
      <c r="F195" s="4">
        <v>55</v>
      </c>
      <c r="G195" s="4" t="str">
        <f t="shared" ref="G195:G258" si="3">CONCATENATE(F195,E195)</f>
        <v>5511999998017</v>
      </c>
      <c r="H195" t="s">
        <v>2789</v>
      </c>
      <c r="I195" t="s">
        <v>14</v>
      </c>
      <c r="J195" t="s">
        <v>18</v>
      </c>
      <c r="K195" t="s">
        <v>16</v>
      </c>
      <c r="L195" t="s">
        <v>1416</v>
      </c>
      <c r="M195" t="s">
        <v>1417</v>
      </c>
      <c r="N195" t="s">
        <v>1414</v>
      </c>
    </row>
    <row r="196" spans="1:14">
      <c r="A196" t="s">
        <v>1418</v>
      </c>
      <c r="B196" t="s">
        <v>1317</v>
      </c>
      <c r="C196" t="s">
        <v>1419</v>
      </c>
      <c r="D196" t="s">
        <v>1420</v>
      </c>
      <c r="E196">
        <v>12991567739</v>
      </c>
      <c r="F196" s="4">
        <v>55</v>
      </c>
      <c r="G196" s="4" t="str">
        <f t="shared" si="3"/>
        <v>5512991567739</v>
      </c>
      <c r="H196" t="s">
        <v>2780</v>
      </c>
      <c r="I196" t="s">
        <v>14</v>
      </c>
      <c r="J196" t="s">
        <v>19</v>
      </c>
      <c r="K196" t="s">
        <v>16</v>
      </c>
      <c r="L196" t="s">
        <v>1421</v>
      </c>
      <c r="M196" t="s">
        <v>1422</v>
      </c>
      <c r="N196" t="s">
        <v>1423</v>
      </c>
    </row>
    <row r="197" spans="1:14">
      <c r="A197" t="s">
        <v>1424</v>
      </c>
      <c r="B197" t="s">
        <v>1317</v>
      </c>
      <c r="C197" t="s">
        <v>1425</v>
      </c>
      <c r="D197" t="s">
        <v>1426</v>
      </c>
      <c r="F197" s="4">
        <v>55</v>
      </c>
      <c r="G197" s="4" t="str">
        <f t="shared" si="3"/>
        <v>55</v>
      </c>
      <c r="H197" t="s">
        <v>2784</v>
      </c>
      <c r="I197" t="s">
        <v>14</v>
      </c>
      <c r="J197" t="s">
        <v>15</v>
      </c>
      <c r="K197" t="s">
        <v>16</v>
      </c>
      <c r="L197" t="s">
        <v>1427</v>
      </c>
      <c r="M197" t="s">
        <v>405</v>
      </c>
      <c r="N197" t="s">
        <v>405</v>
      </c>
    </row>
    <row r="198" spans="1:14">
      <c r="A198" t="s">
        <v>1428</v>
      </c>
      <c r="B198" t="s">
        <v>1317</v>
      </c>
      <c r="C198" t="s">
        <v>1429</v>
      </c>
      <c r="D198" t="s">
        <v>1430</v>
      </c>
      <c r="E198">
        <v>12997981164</v>
      </c>
      <c r="F198" s="4">
        <v>55</v>
      </c>
      <c r="G198" s="4" t="str">
        <f t="shared" si="3"/>
        <v>5512997981164</v>
      </c>
      <c r="H198" t="s">
        <v>2789</v>
      </c>
      <c r="I198" t="s">
        <v>14</v>
      </c>
      <c r="J198" t="s">
        <v>19</v>
      </c>
      <c r="K198" t="s">
        <v>16</v>
      </c>
      <c r="L198" t="s">
        <v>1431</v>
      </c>
      <c r="M198" t="s">
        <v>1432</v>
      </c>
      <c r="N198" t="s">
        <v>1433</v>
      </c>
    </row>
    <row r="199" spans="1:14">
      <c r="A199" t="s">
        <v>1434</v>
      </c>
      <c r="B199" t="s">
        <v>1317</v>
      </c>
      <c r="C199" t="s">
        <v>1435</v>
      </c>
      <c r="D199" t="s">
        <v>1436</v>
      </c>
      <c r="E199">
        <v>12981041200</v>
      </c>
      <c r="F199" s="4">
        <v>55</v>
      </c>
      <c r="G199" s="4" t="str">
        <f t="shared" si="3"/>
        <v>5512981041200</v>
      </c>
      <c r="H199" t="s">
        <v>2780</v>
      </c>
      <c r="I199" t="s">
        <v>14</v>
      </c>
      <c r="J199" t="s">
        <v>19</v>
      </c>
      <c r="K199" t="s">
        <v>16</v>
      </c>
      <c r="L199" t="s">
        <v>1437</v>
      </c>
      <c r="M199" t="s">
        <v>1438</v>
      </c>
      <c r="N199" t="s">
        <v>1439</v>
      </c>
    </row>
    <row r="200" spans="1:14">
      <c r="A200" t="s">
        <v>1440</v>
      </c>
      <c r="B200" t="s">
        <v>1317</v>
      </c>
      <c r="C200" t="s">
        <v>1441</v>
      </c>
      <c r="D200" t="s">
        <v>51</v>
      </c>
      <c r="E200">
        <v>12983032611</v>
      </c>
      <c r="F200" s="4">
        <v>55</v>
      </c>
      <c r="G200" s="4" t="str">
        <f t="shared" si="3"/>
        <v>5512983032611</v>
      </c>
      <c r="H200" t="s">
        <v>2789</v>
      </c>
      <c r="I200" t="s">
        <v>14</v>
      </c>
      <c r="J200" t="s">
        <v>19</v>
      </c>
      <c r="K200" t="s">
        <v>16</v>
      </c>
      <c r="L200" t="s">
        <v>1442</v>
      </c>
      <c r="M200" t="s">
        <v>1443</v>
      </c>
      <c r="N200" t="s">
        <v>1444</v>
      </c>
    </row>
    <row r="201" spans="1:14">
      <c r="A201" t="s">
        <v>1445</v>
      </c>
      <c r="B201" t="s">
        <v>1317</v>
      </c>
      <c r="C201" t="s">
        <v>1446</v>
      </c>
      <c r="D201" t="s">
        <v>1447</v>
      </c>
      <c r="F201" s="4">
        <v>55</v>
      </c>
      <c r="G201" s="4" t="str">
        <f t="shared" si="3"/>
        <v>55</v>
      </c>
      <c r="H201" t="s">
        <v>2781</v>
      </c>
      <c r="I201" t="s">
        <v>14</v>
      </c>
      <c r="J201" t="s">
        <v>15</v>
      </c>
      <c r="K201" t="s">
        <v>16</v>
      </c>
      <c r="L201" t="s">
        <v>1448</v>
      </c>
      <c r="M201" t="s">
        <v>405</v>
      </c>
      <c r="N201" t="s">
        <v>405</v>
      </c>
    </row>
    <row r="202" spans="1:14">
      <c r="A202" t="s">
        <v>1457</v>
      </c>
      <c r="B202" t="s">
        <v>1458</v>
      </c>
      <c r="C202" t="s">
        <v>1459</v>
      </c>
      <c r="D202" t="s">
        <v>1460</v>
      </c>
      <c r="E202">
        <v>74999635681</v>
      </c>
      <c r="F202" s="4">
        <v>55</v>
      </c>
      <c r="G202" s="4" t="str">
        <f t="shared" si="3"/>
        <v>5574999635681</v>
      </c>
      <c r="H202" t="s">
        <v>2786</v>
      </c>
      <c r="I202" t="s">
        <v>14</v>
      </c>
      <c r="J202" t="s">
        <v>20</v>
      </c>
      <c r="K202" t="s">
        <v>16</v>
      </c>
      <c r="L202" t="s">
        <v>2169</v>
      </c>
      <c r="M202" t="s">
        <v>405</v>
      </c>
      <c r="N202" t="s">
        <v>405</v>
      </c>
    </row>
    <row r="203" spans="1:14">
      <c r="A203" t="s">
        <v>1461</v>
      </c>
      <c r="B203" t="s">
        <v>1458</v>
      </c>
      <c r="C203" t="s">
        <v>1462</v>
      </c>
      <c r="D203" t="s">
        <v>1463</v>
      </c>
      <c r="E203">
        <v>11981397785</v>
      </c>
      <c r="F203" s="4">
        <v>55</v>
      </c>
      <c r="G203" s="4" t="str">
        <f t="shared" si="3"/>
        <v>5511981397785</v>
      </c>
      <c r="H203" t="s">
        <v>2791</v>
      </c>
      <c r="I203" t="s">
        <v>14</v>
      </c>
      <c r="J203" t="s">
        <v>397</v>
      </c>
      <c r="K203" t="s">
        <v>16</v>
      </c>
      <c r="L203" t="s">
        <v>2170</v>
      </c>
      <c r="M203" t="s">
        <v>405</v>
      </c>
      <c r="N203" t="s">
        <v>405</v>
      </c>
    </row>
    <row r="204" spans="1:14">
      <c r="A204" t="s">
        <v>1464</v>
      </c>
      <c r="B204" t="s">
        <v>1458</v>
      </c>
      <c r="C204" t="s">
        <v>1465</v>
      </c>
      <c r="D204" t="s">
        <v>1466</v>
      </c>
      <c r="E204">
        <v>3135624600</v>
      </c>
      <c r="F204" s="4">
        <v>55</v>
      </c>
      <c r="G204" s="4" t="str">
        <f t="shared" si="3"/>
        <v>553135624600</v>
      </c>
      <c r="H204" t="s">
        <v>2786</v>
      </c>
      <c r="I204" t="s">
        <v>14</v>
      </c>
      <c r="J204" t="s">
        <v>15</v>
      </c>
      <c r="K204" t="s">
        <v>16</v>
      </c>
      <c r="L204" t="s">
        <v>2171</v>
      </c>
      <c r="M204" t="s">
        <v>405</v>
      </c>
      <c r="N204" t="s">
        <v>405</v>
      </c>
    </row>
    <row r="205" spans="1:14">
      <c r="A205" t="s">
        <v>1467</v>
      </c>
      <c r="B205" t="s">
        <v>1458</v>
      </c>
      <c r="C205" t="s">
        <v>1468</v>
      </c>
      <c r="D205" t="s">
        <v>1469</v>
      </c>
      <c r="E205">
        <v>31971975060</v>
      </c>
      <c r="F205" s="4">
        <v>55</v>
      </c>
      <c r="G205" s="4" t="str">
        <f t="shared" si="3"/>
        <v>5531971975060</v>
      </c>
      <c r="H205" t="s">
        <v>2789</v>
      </c>
      <c r="I205" t="s">
        <v>14</v>
      </c>
      <c r="J205" t="s">
        <v>17</v>
      </c>
      <c r="K205" t="s">
        <v>16</v>
      </c>
      <c r="L205" t="s">
        <v>2172</v>
      </c>
      <c r="M205" t="s">
        <v>2173</v>
      </c>
      <c r="N205" t="s">
        <v>2174</v>
      </c>
    </row>
    <row r="206" spans="1:14">
      <c r="A206" t="s">
        <v>1470</v>
      </c>
      <c r="B206" t="s">
        <v>1458</v>
      </c>
      <c r="C206" t="s">
        <v>1471</v>
      </c>
      <c r="D206" t="s">
        <v>1472</v>
      </c>
      <c r="E206">
        <v>31992540022</v>
      </c>
      <c r="F206" s="4">
        <v>55</v>
      </c>
      <c r="G206" s="4" t="str">
        <f t="shared" si="3"/>
        <v>5531992540022</v>
      </c>
      <c r="H206" t="s">
        <v>2781</v>
      </c>
      <c r="I206" t="s">
        <v>14</v>
      </c>
      <c r="J206" t="s">
        <v>17</v>
      </c>
      <c r="K206" t="s">
        <v>16</v>
      </c>
      <c r="L206" t="s">
        <v>2175</v>
      </c>
      <c r="M206" t="s">
        <v>405</v>
      </c>
      <c r="N206" t="s">
        <v>405</v>
      </c>
    </row>
    <row r="207" spans="1:14">
      <c r="A207" t="s">
        <v>1473</v>
      </c>
      <c r="B207" t="s">
        <v>1458</v>
      </c>
      <c r="C207" t="s">
        <v>1474</v>
      </c>
      <c r="D207" t="s">
        <v>42</v>
      </c>
      <c r="E207">
        <v>11984417247</v>
      </c>
      <c r="F207" s="4">
        <v>55</v>
      </c>
      <c r="G207" s="4" t="str">
        <f t="shared" si="3"/>
        <v>5511984417247</v>
      </c>
      <c r="H207" t="s">
        <v>2789</v>
      </c>
      <c r="I207" t="s">
        <v>14</v>
      </c>
      <c r="J207" t="s">
        <v>19</v>
      </c>
      <c r="K207" t="s">
        <v>16</v>
      </c>
      <c r="L207" t="s">
        <v>2176</v>
      </c>
      <c r="M207" t="s">
        <v>2177</v>
      </c>
      <c r="N207" t="s">
        <v>2178</v>
      </c>
    </row>
    <row r="208" spans="1:14">
      <c r="A208" t="s">
        <v>1475</v>
      </c>
      <c r="B208" t="s">
        <v>1458</v>
      </c>
      <c r="C208" t="s">
        <v>1476</v>
      </c>
      <c r="D208" t="s">
        <v>33</v>
      </c>
      <c r="E208">
        <v>11991964817</v>
      </c>
      <c r="F208" s="4">
        <v>55</v>
      </c>
      <c r="G208" s="4" t="str">
        <f t="shared" si="3"/>
        <v>5511991964817</v>
      </c>
      <c r="H208" t="s">
        <v>2780</v>
      </c>
      <c r="I208" t="s">
        <v>14</v>
      </c>
      <c r="J208" t="s">
        <v>18</v>
      </c>
      <c r="K208" t="s">
        <v>16</v>
      </c>
      <c r="L208" t="s">
        <v>2179</v>
      </c>
      <c r="M208" t="s">
        <v>2180</v>
      </c>
      <c r="N208" t="s">
        <v>2181</v>
      </c>
    </row>
    <row r="209" spans="1:14">
      <c r="A209" t="s">
        <v>1477</v>
      </c>
      <c r="B209" t="s">
        <v>1458</v>
      </c>
      <c r="C209" t="s">
        <v>1478</v>
      </c>
      <c r="D209" t="s">
        <v>33</v>
      </c>
      <c r="E209">
        <v>11992481022</v>
      </c>
      <c r="F209" s="4">
        <v>55</v>
      </c>
      <c r="G209" s="4" t="str">
        <f t="shared" si="3"/>
        <v>5511992481022</v>
      </c>
      <c r="H209" t="s">
        <v>2780</v>
      </c>
      <c r="I209" t="s">
        <v>14</v>
      </c>
      <c r="J209" t="s">
        <v>18</v>
      </c>
      <c r="K209" t="s">
        <v>16</v>
      </c>
      <c r="L209" t="s">
        <v>2182</v>
      </c>
      <c r="M209" t="s">
        <v>2183</v>
      </c>
      <c r="N209" t="s">
        <v>2184</v>
      </c>
    </row>
    <row r="210" spans="1:14">
      <c r="A210" t="s">
        <v>1479</v>
      </c>
      <c r="B210" t="s">
        <v>1458</v>
      </c>
      <c r="C210" t="s">
        <v>1480</v>
      </c>
      <c r="D210" t="s">
        <v>33</v>
      </c>
      <c r="E210">
        <v>11972652175</v>
      </c>
      <c r="F210" s="4">
        <v>55</v>
      </c>
      <c r="G210" s="4" t="str">
        <f t="shared" si="3"/>
        <v>5511972652175</v>
      </c>
      <c r="H210" t="s">
        <v>2780</v>
      </c>
      <c r="I210" t="s">
        <v>14</v>
      </c>
      <c r="J210" t="s">
        <v>18</v>
      </c>
      <c r="K210" t="s">
        <v>16</v>
      </c>
      <c r="L210" t="s">
        <v>2185</v>
      </c>
      <c r="M210" t="s">
        <v>2186</v>
      </c>
      <c r="N210" t="s">
        <v>2187</v>
      </c>
    </row>
    <row r="211" spans="1:14">
      <c r="A211" t="s">
        <v>1481</v>
      </c>
      <c r="B211" t="s">
        <v>1458</v>
      </c>
      <c r="C211" t="s">
        <v>1482</v>
      </c>
      <c r="D211" t="s">
        <v>33</v>
      </c>
      <c r="E211">
        <v>11999449333</v>
      </c>
      <c r="F211" s="4">
        <v>55</v>
      </c>
      <c r="G211" s="4" t="str">
        <f t="shared" si="3"/>
        <v>5511999449333</v>
      </c>
      <c r="H211" t="s">
        <v>2780</v>
      </c>
      <c r="I211" t="s">
        <v>14</v>
      </c>
      <c r="J211" t="s">
        <v>18</v>
      </c>
      <c r="K211" t="s">
        <v>16</v>
      </c>
      <c r="L211" t="s">
        <v>2188</v>
      </c>
      <c r="M211" t="s">
        <v>2189</v>
      </c>
      <c r="N211" t="s">
        <v>2190</v>
      </c>
    </row>
    <row r="212" spans="1:14">
      <c r="A212" t="s">
        <v>1483</v>
      </c>
      <c r="B212" t="s">
        <v>1458</v>
      </c>
      <c r="C212" t="s">
        <v>1480</v>
      </c>
      <c r="D212" t="s">
        <v>33</v>
      </c>
      <c r="E212">
        <v>11972652175</v>
      </c>
      <c r="F212" s="4">
        <v>55</v>
      </c>
      <c r="G212" s="4" t="str">
        <f t="shared" si="3"/>
        <v>5511972652175</v>
      </c>
      <c r="H212" t="s">
        <v>2780</v>
      </c>
      <c r="I212" t="s">
        <v>14</v>
      </c>
      <c r="J212" t="s">
        <v>18</v>
      </c>
      <c r="K212" t="s">
        <v>16</v>
      </c>
      <c r="L212" t="s">
        <v>2185</v>
      </c>
      <c r="M212" t="s">
        <v>2191</v>
      </c>
      <c r="N212" t="s">
        <v>2192</v>
      </c>
    </row>
    <row r="213" spans="1:14">
      <c r="A213" t="s">
        <v>1484</v>
      </c>
      <c r="B213" t="s">
        <v>1458</v>
      </c>
      <c r="C213" t="s">
        <v>1485</v>
      </c>
      <c r="D213" t="s">
        <v>42</v>
      </c>
      <c r="E213">
        <v>19981713097</v>
      </c>
      <c r="F213" s="4">
        <v>55</v>
      </c>
      <c r="G213" s="4" t="str">
        <f t="shared" si="3"/>
        <v>5519981713097</v>
      </c>
      <c r="H213" t="s">
        <v>2789</v>
      </c>
      <c r="I213" t="s">
        <v>14</v>
      </c>
      <c r="J213" t="s">
        <v>19</v>
      </c>
      <c r="K213" t="s">
        <v>16</v>
      </c>
      <c r="L213" t="s">
        <v>2193</v>
      </c>
      <c r="M213" t="s">
        <v>2194</v>
      </c>
      <c r="N213" t="s">
        <v>2195</v>
      </c>
    </row>
    <row r="214" spans="1:14">
      <c r="A214" t="s">
        <v>1486</v>
      </c>
      <c r="B214" t="s">
        <v>1458</v>
      </c>
      <c r="C214" t="s">
        <v>1487</v>
      </c>
      <c r="D214" t="s">
        <v>1488</v>
      </c>
      <c r="E214">
        <v>11992599314</v>
      </c>
      <c r="F214" s="4">
        <v>55</v>
      </c>
      <c r="G214" s="4" t="str">
        <f t="shared" si="3"/>
        <v>5511992599314</v>
      </c>
      <c r="H214" t="s">
        <v>2781</v>
      </c>
      <c r="I214" t="s">
        <v>14</v>
      </c>
      <c r="J214" t="s">
        <v>17</v>
      </c>
      <c r="K214" t="s">
        <v>16</v>
      </c>
      <c r="L214" t="s">
        <v>2196</v>
      </c>
      <c r="M214" t="s">
        <v>405</v>
      </c>
      <c r="N214" t="s">
        <v>405</v>
      </c>
    </row>
    <row r="215" spans="1:14">
      <c r="A215" t="s">
        <v>1489</v>
      </c>
      <c r="B215" t="s">
        <v>1458</v>
      </c>
      <c r="C215" t="s">
        <v>1487</v>
      </c>
      <c r="D215" t="s">
        <v>1488</v>
      </c>
      <c r="E215">
        <v>11992595314</v>
      </c>
      <c r="F215" s="4">
        <v>55</v>
      </c>
      <c r="G215" s="4" t="str">
        <f t="shared" si="3"/>
        <v>5511992595314</v>
      </c>
      <c r="H215" t="s">
        <v>2795</v>
      </c>
      <c r="I215" t="s">
        <v>14</v>
      </c>
      <c r="J215" t="s">
        <v>17</v>
      </c>
      <c r="K215" t="s">
        <v>16</v>
      </c>
      <c r="L215" t="s">
        <v>2196</v>
      </c>
      <c r="M215" t="s">
        <v>2197</v>
      </c>
      <c r="N215" t="s">
        <v>2198</v>
      </c>
    </row>
    <row r="216" spans="1:14">
      <c r="A216" t="s">
        <v>1490</v>
      </c>
      <c r="B216" t="s">
        <v>1458</v>
      </c>
      <c r="C216" t="s">
        <v>1491</v>
      </c>
      <c r="D216" t="s">
        <v>54</v>
      </c>
      <c r="E216">
        <v>11963670837</v>
      </c>
      <c r="F216" s="4">
        <v>55</v>
      </c>
      <c r="G216" s="4" t="str">
        <f t="shared" si="3"/>
        <v>5511963670837</v>
      </c>
      <c r="H216" t="s">
        <v>2789</v>
      </c>
      <c r="I216" t="s">
        <v>14</v>
      </c>
      <c r="J216" t="s">
        <v>15</v>
      </c>
      <c r="K216" t="s">
        <v>16</v>
      </c>
      <c r="L216" t="s">
        <v>2199</v>
      </c>
      <c r="M216" t="s">
        <v>2200</v>
      </c>
      <c r="N216" t="s">
        <v>2201</v>
      </c>
    </row>
    <row r="217" spans="1:14">
      <c r="A217" t="s">
        <v>1492</v>
      </c>
      <c r="B217" t="s">
        <v>1458</v>
      </c>
      <c r="C217" t="s">
        <v>1493</v>
      </c>
      <c r="D217" t="s">
        <v>1494</v>
      </c>
      <c r="E217">
        <v>12988550367</v>
      </c>
      <c r="F217" s="4">
        <v>55</v>
      </c>
      <c r="G217" s="4" t="str">
        <f t="shared" si="3"/>
        <v>5512988550367</v>
      </c>
      <c r="H217" t="s">
        <v>2781</v>
      </c>
      <c r="I217" t="s">
        <v>14</v>
      </c>
      <c r="J217" t="s">
        <v>19</v>
      </c>
      <c r="K217" t="s">
        <v>16</v>
      </c>
      <c r="L217" t="s">
        <v>2202</v>
      </c>
      <c r="M217" t="s">
        <v>405</v>
      </c>
      <c r="N217" t="s">
        <v>405</v>
      </c>
    </row>
    <row r="218" spans="1:14">
      <c r="A218" t="s">
        <v>1495</v>
      </c>
      <c r="B218" t="s">
        <v>1458</v>
      </c>
      <c r="C218" t="s">
        <v>1487</v>
      </c>
      <c r="D218" t="s">
        <v>1488</v>
      </c>
      <c r="E218">
        <v>11992595314</v>
      </c>
      <c r="F218" s="4">
        <v>55</v>
      </c>
      <c r="G218" s="4" t="str">
        <f t="shared" si="3"/>
        <v>5511992595314</v>
      </c>
      <c r="H218" t="s">
        <v>2795</v>
      </c>
      <c r="I218" t="s">
        <v>14</v>
      </c>
      <c r="J218" t="s">
        <v>17</v>
      </c>
      <c r="K218" t="s">
        <v>16</v>
      </c>
      <c r="L218" t="s">
        <v>2196</v>
      </c>
      <c r="M218" t="s">
        <v>2203</v>
      </c>
      <c r="N218" t="s">
        <v>2204</v>
      </c>
    </row>
    <row r="219" spans="1:14">
      <c r="A219" t="s">
        <v>1496</v>
      </c>
      <c r="B219" t="s">
        <v>1458</v>
      </c>
      <c r="C219" t="s">
        <v>1497</v>
      </c>
      <c r="D219" t="s">
        <v>42</v>
      </c>
      <c r="E219">
        <v>71999480068</v>
      </c>
      <c r="F219" s="4">
        <v>55</v>
      </c>
      <c r="G219" s="4" t="str">
        <f t="shared" si="3"/>
        <v>5571999480068</v>
      </c>
      <c r="H219" t="s">
        <v>2789</v>
      </c>
      <c r="I219" t="s">
        <v>14</v>
      </c>
      <c r="J219" t="s">
        <v>19</v>
      </c>
      <c r="K219" t="s">
        <v>16</v>
      </c>
      <c r="L219" t="s">
        <v>2205</v>
      </c>
      <c r="M219" t="s">
        <v>2206</v>
      </c>
      <c r="N219" t="s">
        <v>2207</v>
      </c>
    </row>
    <row r="220" spans="1:14">
      <c r="A220" t="s">
        <v>1498</v>
      </c>
      <c r="B220" t="s">
        <v>1458</v>
      </c>
      <c r="C220" t="s">
        <v>1499</v>
      </c>
      <c r="D220" t="s">
        <v>1500</v>
      </c>
      <c r="E220">
        <v>31986120113</v>
      </c>
      <c r="F220" s="4">
        <v>55</v>
      </c>
      <c r="G220" s="4" t="str">
        <f t="shared" si="3"/>
        <v>5531986120113</v>
      </c>
      <c r="H220" t="s">
        <v>2789</v>
      </c>
      <c r="I220" t="s">
        <v>14</v>
      </c>
      <c r="J220" t="s">
        <v>17</v>
      </c>
      <c r="K220" t="s">
        <v>16</v>
      </c>
      <c r="L220" t="s">
        <v>2208</v>
      </c>
      <c r="M220" t="s">
        <v>2209</v>
      </c>
      <c r="N220" t="s">
        <v>2210</v>
      </c>
    </row>
    <row r="221" spans="1:14">
      <c r="A221" t="s">
        <v>1501</v>
      </c>
      <c r="B221" t="s">
        <v>1458</v>
      </c>
      <c r="C221" t="s">
        <v>1502</v>
      </c>
      <c r="D221" t="s">
        <v>1503</v>
      </c>
      <c r="E221">
        <v>12981185390</v>
      </c>
      <c r="F221" s="4">
        <v>55</v>
      </c>
      <c r="G221" s="4" t="str">
        <f t="shared" si="3"/>
        <v>5512981185390</v>
      </c>
      <c r="H221" t="s">
        <v>2780</v>
      </c>
      <c r="I221" t="s">
        <v>14</v>
      </c>
      <c r="J221" t="s">
        <v>19</v>
      </c>
      <c r="K221" t="s">
        <v>16</v>
      </c>
      <c r="L221" t="s">
        <v>2211</v>
      </c>
      <c r="M221" t="s">
        <v>2212</v>
      </c>
      <c r="N221" t="s">
        <v>2213</v>
      </c>
    </row>
    <row r="222" spans="1:14">
      <c r="A222" t="s">
        <v>1504</v>
      </c>
      <c r="B222" t="s">
        <v>1458</v>
      </c>
      <c r="C222" t="s">
        <v>1505</v>
      </c>
      <c r="D222" t="s">
        <v>1506</v>
      </c>
      <c r="F222" s="4">
        <v>55</v>
      </c>
      <c r="G222" s="4" t="str">
        <f t="shared" si="3"/>
        <v>55</v>
      </c>
      <c r="H222" t="s">
        <v>2780</v>
      </c>
      <c r="I222" t="s">
        <v>14</v>
      </c>
      <c r="J222" t="s">
        <v>15</v>
      </c>
      <c r="K222" t="s">
        <v>16</v>
      </c>
      <c r="L222" t="s">
        <v>2214</v>
      </c>
      <c r="M222" t="s">
        <v>2215</v>
      </c>
      <c r="N222" t="s">
        <v>2216</v>
      </c>
    </row>
    <row r="223" spans="1:14">
      <c r="A223" t="s">
        <v>1507</v>
      </c>
      <c r="B223" t="s">
        <v>1508</v>
      </c>
      <c r="C223" t="s">
        <v>1509</v>
      </c>
      <c r="D223" t="s">
        <v>1510</v>
      </c>
      <c r="E223">
        <v>11996161307</v>
      </c>
      <c r="F223" s="4">
        <v>55</v>
      </c>
      <c r="G223" s="4" t="str">
        <f t="shared" si="3"/>
        <v>5511996161307</v>
      </c>
      <c r="H223" t="s">
        <v>2787</v>
      </c>
      <c r="I223" t="s">
        <v>14</v>
      </c>
      <c r="J223" t="s">
        <v>18</v>
      </c>
      <c r="K223" t="s">
        <v>16</v>
      </c>
      <c r="L223" t="s">
        <v>2217</v>
      </c>
      <c r="M223" t="s">
        <v>2218</v>
      </c>
      <c r="N223" t="s">
        <v>2219</v>
      </c>
    </row>
    <row r="224" spans="1:14">
      <c r="A224" t="s">
        <v>1511</v>
      </c>
      <c r="B224" t="s">
        <v>1508</v>
      </c>
      <c r="C224" t="s">
        <v>1512</v>
      </c>
      <c r="D224" t="s">
        <v>1513</v>
      </c>
      <c r="E224">
        <v>31997482170</v>
      </c>
      <c r="F224" s="4">
        <v>55</v>
      </c>
      <c r="G224" s="4" t="str">
        <f t="shared" si="3"/>
        <v>5531997482170</v>
      </c>
      <c r="H224" t="s">
        <v>2786</v>
      </c>
      <c r="I224" t="s">
        <v>14</v>
      </c>
      <c r="J224" t="s">
        <v>17</v>
      </c>
      <c r="K224" t="s">
        <v>16</v>
      </c>
      <c r="L224" t="s">
        <v>2220</v>
      </c>
      <c r="M224" t="s">
        <v>405</v>
      </c>
      <c r="N224" t="s">
        <v>405</v>
      </c>
    </row>
    <row r="225" spans="1:14">
      <c r="A225" t="s">
        <v>1514</v>
      </c>
      <c r="B225" t="s">
        <v>1508</v>
      </c>
      <c r="C225" t="s">
        <v>1515</v>
      </c>
      <c r="D225" t="s">
        <v>1516</v>
      </c>
      <c r="E225">
        <v>31988857001</v>
      </c>
      <c r="F225" s="4">
        <v>55</v>
      </c>
      <c r="G225" s="4" t="str">
        <f t="shared" si="3"/>
        <v>5531988857001</v>
      </c>
      <c r="H225" t="s">
        <v>2786</v>
      </c>
      <c r="I225" t="s">
        <v>14</v>
      </c>
      <c r="J225" t="s">
        <v>101</v>
      </c>
      <c r="K225" t="s">
        <v>16</v>
      </c>
      <c r="L225" t="s">
        <v>2221</v>
      </c>
      <c r="M225" t="s">
        <v>405</v>
      </c>
      <c r="N225" t="s">
        <v>405</v>
      </c>
    </row>
    <row r="226" spans="1:14">
      <c r="A226" t="s">
        <v>1517</v>
      </c>
      <c r="B226" t="s">
        <v>1508</v>
      </c>
      <c r="C226" t="s">
        <v>1518</v>
      </c>
      <c r="D226" t="s">
        <v>1519</v>
      </c>
      <c r="E226">
        <v>1298808751</v>
      </c>
      <c r="F226" s="4">
        <v>55</v>
      </c>
      <c r="G226" s="4" t="str">
        <f t="shared" si="3"/>
        <v>551298808751</v>
      </c>
      <c r="H226" t="s">
        <v>2786</v>
      </c>
      <c r="I226" t="s">
        <v>14</v>
      </c>
      <c r="J226" t="s">
        <v>19</v>
      </c>
      <c r="K226" t="s">
        <v>16</v>
      </c>
      <c r="L226" t="s">
        <v>2222</v>
      </c>
      <c r="M226" t="s">
        <v>405</v>
      </c>
      <c r="N226" t="s">
        <v>405</v>
      </c>
    </row>
    <row r="227" spans="1:14">
      <c r="A227" t="s">
        <v>1520</v>
      </c>
      <c r="B227" t="s">
        <v>1508</v>
      </c>
      <c r="C227" t="s">
        <v>1521</v>
      </c>
      <c r="D227" t="s">
        <v>1522</v>
      </c>
      <c r="E227">
        <v>11975537375</v>
      </c>
      <c r="F227" s="4">
        <v>55</v>
      </c>
      <c r="G227" s="4" t="str">
        <f t="shared" si="3"/>
        <v>5511975537375</v>
      </c>
      <c r="H227" t="s">
        <v>2797</v>
      </c>
      <c r="I227" t="s">
        <v>14</v>
      </c>
      <c r="J227" t="s">
        <v>18</v>
      </c>
      <c r="K227" t="s">
        <v>16</v>
      </c>
      <c r="L227" t="s">
        <v>2223</v>
      </c>
      <c r="M227" t="s">
        <v>405</v>
      </c>
      <c r="N227" t="s">
        <v>405</v>
      </c>
    </row>
    <row r="228" spans="1:14">
      <c r="A228" t="s">
        <v>1523</v>
      </c>
      <c r="B228" t="s">
        <v>1508</v>
      </c>
      <c r="C228" t="s">
        <v>1524</v>
      </c>
      <c r="D228" t="s">
        <v>1525</v>
      </c>
      <c r="E228">
        <v>11973343647</v>
      </c>
      <c r="F228" s="4">
        <v>55</v>
      </c>
      <c r="G228" s="4" t="str">
        <f t="shared" si="3"/>
        <v>5511973343647</v>
      </c>
      <c r="H228" t="s">
        <v>2786</v>
      </c>
      <c r="I228" t="s">
        <v>14</v>
      </c>
      <c r="J228" t="s">
        <v>18</v>
      </c>
      <c r="K228" t="s">
        <v>16</v>
      </c>
      <c r="L228" t="s">
        <v>2224</v>
      </c>
      <c r="M228" t="s">
        <v>405</v>
      </c>
      <c r="N228" t="s">
        <v>405</v>
      </c>
    </row>
    <row r="229" spans="1:14">
      <c r="A229" t="s">
        <v>1526</v>
      </c>
      <c r="B229" t="s">
        <v>1508</v>
      </c>
      <c r="C229" t="s">
        <v>1527</v>
      </c>
      <c r="D229" t="s">
        <v>1528</v>
      </c>
      <c r="E229">
        <v>11985679001</v>
      </c>
      <c r="F229" s="4">
        <v>55</v>
      </c>
      <c r="G229" s="4" t="str">
        <f t="shared" si="3"/>
        <v>5511985679001</v>
      </c>
      <c r="H229" t="s">
        <v>2789</v>
      </c>
      <c r="I229" t="s">
        <v>14</v>
      </c>
      <c r="J229" t="s">
        <v>37</v>
      </c>
      <c r="K229" t="s">
        <v>16</v>
      </c>
      <c r="L229" t="s">
        <v>2225</v>
      </c>
      <c r="M229" t="s">
        <v>2226</v>
      </c>
      <c r="N229" t="s">
        <v>2227</v>
      </c>
    </row>
    <row r="230" spans="1:14">
      <c r="A230" t="s">
        <v>1529</v>
      </c>
      <c r="B230" t="s">
        <v>1508</v>
      </c>
      <c r="C230" t="s">
        <v>1530</v>
      </c>
      <c r="D230" t="s">
        <v>1531</v>
      </c>
      <c r="E230">
        <v>11994893629</v>
      </c>
      <c r="F230" s="4">
        <v>55</v>
      </c>
      <c r="G230" s="4" t="str">
        <f t="shared" si="3"/>
        <v>5511994893629</v>
      </c>
      <c r="H230" t="s">
        <v>2780</v>
      </c>
      <c r="I230" t="s">
        <v>14</v>
      </c>
      <c r="J230" t="s">
        <v>37</v>
      </c>
      <c r="K230" t="s">
        <v>16</v>
      </c>
      <c r="L230" t="s">
        <v>2228</v>
      </c>
      <c r="M230" t="s">
        <v>2229</v>
      </c>
      <c r="N230" t="s">
        <v>1530</v>
      </c>
    </row>
    <row r="231" spans="1:14">
      <c r="A231" t="s">
        <v>1532</v>
      </c>
      <c r="B231" t="s">
        <v>1508</v>
      </c>
      <c r="C231" t="s">
        <v>1533</v>
      </c>
      <c r="D231" t="s">
        <v>1534</v>
      </c>
      <c r="E231">
        <v>12996845370</v>
      </c>
      <c r="F231" s="4">
        <v>55</v>
      </c>
      <c r="G231" s="4" t="str">
        <f t="shared" si="3"/>
        <v>5512996845370</v>
      </c>
      <c r="H231" t="s">
        <v>2789</v>
      </c>
      <c r="I231" t="s">
        <v>14</v>
      </c>
      <c r="J231" t="s">
        <v>19</v>
      </c>
      <c r="K231" t="s">
        <v>16</v>
      </c>
      <c r="L231" t="s">
        <v>2230</v>
      </c>
      <c r="M231" t="s">
        <v>2231</v>
      </c>
      <c r="N231" t="s">
        <v>2232</v>
      </c>
    </row>
    <row r="232" spans="1:14">
      <c r="A232" t="s">
        <v>1535</v>
      </c>
      <c r="B232" t="s">
        <v>1536</v>
      </c>
      <c r="C232" t="s">
        <v>1537</v>
      </c>
      <c r="D232" t="s">
        <v>1538</v>
      </c>
      <c r="E232">
        <v>3133321049</v>
      </c>
      <c r="F232" s="4">
        <v>55</v>
      </c>
      <c r="G232" s="4" t="str">
        <f t="shared" si="3"/>
        <v>553133321049</v>
      </c>
      <c r="H232" t="s">
        <v>2786</v>
      </c>
      <c r="I232" t="s">
        <v>14</v>
      </c>
      <c r="J232" t="s">
        <v>539</v>
      </c>
      <c r="K232" t="s">
        <v>16</v>
      </c>
      <c r="L232" t="s">
        <v>2233</v>
      </c>
      <c r="M232" t="s">
        <v>405</v>
      </c>
      <c r="N232" t="s">
        <v>405</v>
      </c>
    </row>
    <row r="233" spans="1:14">
      <c r="A233" t="s">
        <v>1539</v>
      </c>
      <c r="B233" t="s">
        <v>1536</v>
      </c>
      <c r="C233" t="s">
        <v>1540</v>
      </c>
      <c r="D233" t="s">
        <v>1541</v>
      </c>
      <c r="E233">
        <v>3134489508</v>
      </c>
      <c r="F233" s="4">
        <v>55</v>
      </c>
      <c r="G233" s="4" t="str">
        <f t="shared" si="3"/>
        <v>553134489508</v>
      </c>
      <c r="H233" t="s">
        <v>2797</v>
      </c>
      <c r="I233" t="s">
        <v>14</v>
      </c>
      <c r="J233" t="s">
        <v>17</v>
      </c>
      <c r="K233" t="s">
        <v>16</v>
      </c>
      <c r="L233" t="s">
        <v>2234</v>
      </c>
      <c r="M233" t="s">
        <v>405</v>
      </c>
      <c r="N233" t="s">
        <v>405</v>
      </c>
    </row>
    <row r="234" spans="1:14">
      <c r="A234" t="s">
        <v>1542</v>
      </c>
      <c r="B234" t="s">
        <v>1536</v>
      </c>
      <c r="C234" t="s">
        <v>1543</v>
      </c>
      <c r="D234" t="s">
        <v>1544</v>
      </c>
      <c r="E234">
        <v>11992030100</v>
      </c>
      <c r="F234" s="4">
        <v>55</v>
      </c>
      <c r="G234" s="4" t="str">
        <f t="shared" si="3"/>
        <v>5511992030100</v>
      </c>
      <c r="H234" t="s">
        <v>2798</v>
      </c>
      <c r="I234" t="s">
        <v>14</v>
      </c>
      <c r="J234" t="s">
        <v>20</v>
      </c>
      <c r="K234" t="s">
        <v>16</v>
      </c>
      <c r="L234" t="s">
        <v>2235</v>
      </c>
      <c r="M234" t="s">
        <v>2236</v>
      </c>
      <c r="N234" t="s">
        <v>2237</v>
      </c>
    </row>
    <row r="235" spans="1:14">
      <c r="A235" t="s">
        <v>1545</v>
      </c>
      <c r="B235" t="s">
        <v>1536</v>
      </c>
      <c r="C235" t="s">
        <v>1546</v>
      </c>
      <c r="D235" t="s">
        <v>1547</v>
      </c>
      <c r="E235">
        <v>1136604100</v>
      </c>
      <c r="F235" s="4">
        <v>55</v>
      </c>
      <c r="G235" s="4" t="str">
        <f t="shared" si="3"/>
        <v>551136604100</v>
      </c>
      <c r="H235" t="s">
        <v>2788</v>
      </c>
      <c r="I235" t="s">
        <v>14</v>
      </c>
      <c r="J235" t="s">
        <v>18</v>
      </c>
      <c r="K235" t="s">
        <v>16</v>
      </c>
      <c r="L235" t="s">
        <v>2238</v>
      </c>
      <c r="M235" t="s">
        <v>2239</v>
      </c>
      <c r="N235" t="s">
        <v>2240</v>
      </c>
    </row>
    <row r="236" spans="1:14">
      <c r="A236" t="s">
        <v>1548</v>
      </c>
      <c r="B236" t="s">
        <v>1536</v>
      </c>
      <c r="C236" t="s">
        <v>1549</v>
      </c>
      <c r="D236" t="s">
        <v>1550</v>
      </c>
      <c r="E236">
        <v>85991562424</v>
      </c>
      <c r="F236" s="4">
        <v>55</v>
      </c>
      <c r="G236" s="4" t="str">
        <f t="shared" si="3"/>
        <v>5585991562424</v>
      </c>
      <c r="H236" t="s">
        <v>2788</v>
      </c>
      <c r="I236" t="s">
        <v>14</v>
      </c>
      <c r="J236" t="s">
        <v>18</v>
      </c>
      <c r="K236" t="s">
        <v>16</v>
      </c>
      <c r="L236" t="s">
        <v>2241</v>
      </c>
      <c r="M236" t="s">
        <v>2242</v>
      </c>
      <c r="N236" t="s">
        <v>2243</v>
      </c>
    </row>
    <row r="237" spans="1:14">
      <c r="A237" t="s">
        <v>1551</v>
      </c>
      <c r="B237" t="s">
        <v>1536</v>
      </c>
      <c r="C237" t="s">
        <v>1552</v>
      </c>
      <c r="D237" t="s">
        <v>1553</v>
      </c>
      <c r="E237">
        <v>21993018872</v>
      </c>
      <c r="F237" s="4">
        <v>55</v>
      </c>
      <c r="G237" s="4" t="str">
        <f t="shared" si="3"/>
        <v>5521993018872</v>
      </c>
      <c r="H237" t="s">
        <v>2786</v>
      </c>
      <c r="I237" t="s">
        <v>14</v>
      </c>
      <c r="J237" t="s">
        <v>20</v>
      </c>
      <c r="K237" t="s">
        <v>16</v>
      </c>
      <c r="L237" t="s">
        <v>2244</v>
      </c>
      <c r="M237" t="s">
        <v>405</v>
      </c>
      <c r="N237" t="s">
        <v>405</v>
      </c>
    </row>
    <row r="238" spans="1:14">
      <c r="A238" t="s">
        <v>1554</v>
      </c>
      <c r="B238" t="s">
        <v>1555</v>
      </c>
      <c r="C238" t="s">
        <v>1556</v>
      </c>
      <c r="D238" t="s">
        <v>1557</v>
      </c>
      <c r="E238">
        <v>11999532009</v>
      </c>
      <c r="F238" s="4">
        <v>55</v>
      </c>
      <c r="G238" s="4" t="str">
        <f t="shared" si="3"/>
        <v>5511999532009</v>
      </c>
      <c r="H238" t="s">
        <v>2787</v>
      </c>
      <c r="I238" t="s">
        <v>14</v>
      </c>
      <c r="J238" t="s">
        <v>18</v>
      </c>
      <c r="K238" t="s">
        <v>16</v>
      </c>
      <c r="L238" t="s">
        <v>2245</v>
      </c>
      <c r="M238" t="s">
        <v>2246</v>
      </c>
      <c r="N238" t="s">
        <v>2247</v>
      </c>
    </row>
    <row r="239" spans="1:14">
      <c r="A239" t="s">
        <v>1558</v>
      </c>
      <c r="B239" t="s">
        <v>1555</v>
      </c>
      <c r="C239" t="s">
        <v>1559</v>
      </c>
      <c r="D239" t="s">
        <v>1560</v>
      </c>
      <c r="E239">
        <v>31995917369</v>
      </c>
      <c r="F239" s="4">
        <v>55</v>
      </c>
      <c r="G239" s="4" t="str">
        <f t="shared" si="3"/>
        <v>5531995917369</v>
      </c>
      <c r="H239" t="s">
        <v>2781</v>
      </c>
      <c r="I239" t="s">
        <v>14</v>
      </c>
      <c r="J239" t="s">
        <v>17</v>
      </c>
      <c r="K239" t="s">
        <v>16</v>
      </c>
      <c r="L239" t="s">
        <v>2248</v>
      </c>
      <c r="M239" t="s">
        <v>405</v>
      </c>
      <c r="N239" t="s">
        <v>405</v>
      </c>
    </row>
    <row r="240" spans="1:14">
      <c r="A240" t="s">
        <v>1561</v>
      </c>
      <c r="B240" t="s">
        <v>1555</v>
      </c>
      <c r="C240" t="s">
        <v>1562</v>
      </c>
      <c r="D240" t="s">
        <v>1563</v>
      </c>
      <c r="F240" s="4">
        <v>55</v>
      </c>
      <c r="G240" s="4" t="str">
        <f t="shared" si="3"/>
        <v>55</v>
      </c>
      <c r="H240" t="s">
        <v>2780</v>
      </c>
      <c r="I240" t="s">
        <v>14</v>
      </c>
      <c r="J240" t="s">
        <v>15</v>
      </c>
      <c r="K240" t="s">
        <v>16</v>
      </c>
      <c r="L240" t="s">
        <v>2249</v>
      </c>
      <c r="M240" t="s">
        <v>2250</v>
      </c>
      <c r="N240" t="s">
        <v>2251</v>
      </c>
    </row>
    <row r="241" spans="1:14">
      <c r="A241" t="s">
        <v>1564</v>
      </c>
      <c r="B241" t="s">
        <v>1555</v>
      </c>
      <c r="C241" t="s">
        <v>1565</v>
      </c>
      <c r="D241" t="s">
        <v>1566</v>
      </c>
      <c r="E241">
        <v>11974868703</v>
      </c>
      <c r="F241" s="4">
        <v>55</v>
      </c>
      <c r="G241" s="4" t="str">
        <f t="shared" si="3"/>
        <v>5511974868703</v>
      </c>
      <c r="H241" t="s">
        <v>2781</v>
      </c>
      <c r="I241" t="s">
        <v>14</v>
      </c>
      <c r="J241" t="s">
        <v>19</v>
      </c>
      <c r="K241" t="s">
        <v>16</v>
      </c>
      <c r="L241" t="s">
        <v>2252</v>
      </c>
      <c r="M241" t="s">
        <v>405</v>
      </c>
      <c r="N241" t="s">
        <v>405</v>
      </c>
    </row>
    <row r="242" spans="1:14">
      <c r="A242" t="s">
        <v>1567</v>
      </c>
      <c r="B242" t="s">
        <v>1555</v>
      </c>
      <c r="C242" t="s">
        <v>1568</v>
      </c>
      <c r="D242" t="s">
        <v>1569</v>
      </c>
      <c r="F242" s="4">
        <v>55</v>
      </c>
      <c r="G242" s="4" t="str">
        <f t="shared" si="3"/>
        <v>55</v>
      </c>
      <c r="H242" t="s">
        <v>2780</v>
      </c>
      <c r="I242" t="s">
        <v>14</v>
      </c>
      <c r="J242" t="s">
        <v>15</v>
      </c>
      <c r="K242" t="s">
        <v>16</v>
      </c>
      <c r="L242" t="s">
        <v>2253</v>
      </c>
      <c r="M242" t="s">
        <v>2254</v>
      </c>
      <c r="N242" t="s">
        <v>2255</v>
      </c>
    </row>
    <row r="243" spans="1:14">
      <c r="A243" t="s">
        <v>1570</v>
      </c>
      <c r="B243" t="s">
        <v>1555</v>
      </c>
      <c r="C243" t="s">
        <v>1571</v>
      </c>
      <c r="D243" t="s">
        <v>1572</v>
      </c>
      <c r="E243">
        <v>11985246462</v>
      </c>
      <c r="F243" s="4">
        <v>55</v>
      </c>
      <c r="G243" s="4" t="str">
        <f t="shared" si="3"/>
        <v>5511985246462</v>
      </c>
      <c r="H243" t="s">
        <v>2780</v>
      </c>
      <c r="I243" t="s">
        <v>14</v>
      </c>
      <c r="J243" t="s">
        <v>18</v>
      </c>
      <c r="K243" t="s">
        <v>16</v>
      </c>
      <c r="L243" t="s">
        <v>2256</v>
      </c>
      <c r="M243" t="s">
        <v>2257</v>
      </c>
      <c r="N243" t="s">
        <v>2258</v>
      </c>
    </row>
    <row r="244" spans="1:14">
      <c r="A244" t="s">
        <v>1573</v>
      </c>
      <c r="B244" t="s">
        <v>1555</v>
      </c>
      <c r="C244" t="s">
        <v>1574</v>
      </c>
      <c r="D244" t="s">
        <v>42</v>
      </c>
      <c r="E244">
        <v>11997798651</v>
      </c>
      <c r="F244" s="4">
        <v>55</v>
      </c>
      <c r="G244" s="4" t="str">
        <f t="shared" si="3"/>
        <v>5511997798651</v>
      </c>
      <c r="H244" t="s">
        <v>2789</v>
      </c>
      <c r="I244" t="s">
        <v>14</v>
      </c>
      <c r="J244" t="s">
        <v>19</v>
      </c>
      <c r="K244" t="s">
        <v>16</v>
      </c>
      <c r="L244" t="s">
        <v>2259</v>
      </c>
      <c r="M244" t="s">
        <v>2260</v>
      </c>
      <c r="N244" t="s">
        <v>2261</v>
      </c>
    </row>
    <row r="245" spans="1:14">
      <c r="A245" t="s">
        <v>1575</v>
      </c>
      <c r="B245" t="s">
        <v>1555</v>
      </c>
      <c r="C245" t="s">
        <v>1576</v>
      </c>
      <c r="D245" t="s">
        <v>51</v>
      </c>
      <c r="E245">
        <v>11952315542</v>
      </c>
      <c r="F245" s="4">
        <v>55</v>
      </c>
      <c r="G245" s="4" t="str">
        <f t="shared" si="3"/>
        <v>5511952315542</v>
      </c>
      <c r="H245" t="s">
        <v>2789</v>
      </c>
      <c r="I245" t="s">
        <v>14</v>
      </c>
      <c r="J245" t="s">
        <v>19</v>
      </c>
      <c r="K245" t="s">
        <v>16</v>
      </c>
      <c r="L245" t="s">
        <v>2262</v>
      </c>
      <c r="M245" t="s">
        <v>2263</v>
      </c>
      <c r="N245" t="s">
        <v>2264</v>
      </c>
    </row>
    <row r="246" spans="1:14">
      <c r="A246" t="s">
        <v>1577</v>
      </c>
      <c r="B246" t="s">
        <v>1555</v>
      </c>
      <c r="C246" t="s">
        <v>1578</v>
      </c>
      <c r="D246" t="s">
        <v>1579</v>
      </c>
      <c r="E246">
        <v>31998393300</v>
      </c>
      <c r="F246" s="4">
        <v>55</v>
      </c>
      <c r="G246" s="4" t="str">
        <f t="shared" si="3"/>
        <v>5531998393300</v>
      </c>
      <c r="H246" t="s">
        <v>2780</v>
      </c>
      <c r="I246" t="s">
        <v>14</v>
      </c>
      <c r="J246" t="s">
        <v>17</v>
      </c>
      <c r="K246" t="s">
        <v>16</v>
      </c>
      <c r="L246" t="s">
        <v>2265</v>
      </c>
      <c r="M246" t="s">
        <v>2266</v>
      </c>
      <c r="N246" t="s">
        <v>2267</v>
      </c>
    </row>
    <row r="247" spans="1:14">
      <c r="A247" t="s">
        <v>1580</v>
      </c>
      <c r="B247" t="s">
        <v>1555</v>
      </c>
      <c r="C247" t="s">
        <v>798</v>
      </c>
      <c r="D247" t="s">
        <v>799</v>
      </c>
      <c r="F247" s="4">
        <v>55</v>
      </c>
      <c r="G247" s="4" t="str">
        <f t="shared" si="3"/>
        <v>55</v>
      </c>
      <c r="H247" t="s">
        <v>2789</v>
      </c>
      <c r="I247" t="s">
        <v>14</v>
      </c>
      <c r="J247" t="s">
        <v>15</v>
      </c>
      <c r="K247" t="s">
        <v>16</v>
      </c>
      <c r="L247" t="s">
        <v>800</v>
      </c>
      <c r="M247" t="s">
        <v>2268</v>
      </c>
      <c r="N247" t="s">
        <v>2269</v>
      </c>
    </row>
    <row r="248" spans="1:14">
      <c r="A248" t="s">
        <v>1581</v>
      </c>
      <c r="B248" t="s">
        <v>1555</v>
      </c>
      <c r="C248" t="s">
        <v>1582</v>
      </c>
      <c r="D248" t="s">
        <v>54</v>
      </c>
      <c r="E248">
        <v>11943484466</v>
      </c>
      <c r="F248" s="4">
        <v>55</v>
      </c>
      <c r="G248" s="4" t="str">
        <f t="shared" si="3"/>
        <v>5511943484466</v>
      </c>
      <c r="H248" t="s">
        <v>2789</v>
      </c>
      <c r="I248" t="s">
        <v>14</v>
      </c>
      <c r="J248" t="s">
        <v>15</v>
      </c>
      <c r="K248" t="s">
        <v>16</v>
      </c>
      <c r="L248" t="s">
        <v>2270</v>
      </c>
      <c r="M248" t="s">
        <v>2271</v>
      </c>
      <c r="N248" t="s">
        <v>2272</v>
      </c>
    </row>
    <row r="249" spans="1:14">
      <c r="A249" t="s">
        <v>1583</v>
      </c>
      <c r="B249" t="s">
        <v>1555</v>
      </c>
      <c r="C249" t="s">
        <v>1584</v>
      </c>
      <c r="D249" t="s">
        <v>54</v>
      </c>
      <c r="E249">
        <v>11971747111</v>
      </c>
      <c r="F249" s="4">
        <v>55</v>
      </c>
      <c r="G249" s="4" t="str">
        <f t="shared" si="3"/>
        <v>5511971747111</v>
      </c>
      <c r="H249" t="s">
        <v>2781</v>
      </c>
      <c r="I249" t="s">
        <v>14</v>
      </c>
      <c r="J249" t="s">
        <v>15</v>
      </c>
      <c r="K249" t="s">
        <v>16</v>
      </c>
      <c r="L249" t="s">
        <v>2273</v>
      </c>
      <c r="M249" t="s">
        <v>405</v>
      </c>
      <c r="N249" t="s">
        <v>405</v>
      </c>
    </row>
    <row r="250" spans="1:14">
      <c r="A250" t="s">
        <v>1585</v>
      </c>
      <c r="B250" t="s">
        <v>1555</v>
      </c>
      <c r="C250" t="s">
        <v>1586</v>
      </c>
      <c r="D250" t="s">
        <v>54</v>
      </c>
      <c r="E250">
        <v>11992963659</v>
      </c>
      <c r="F250" s="4">
        <v>55</v>
      </c>
      <c r="G250" s="4" t="str">
        <f t="shared" si="3"/>
        <v>5511992963659</v>
      </c>
      <c r="H250" t="s">
        <v>2789</v>
      </c>
      <c r="I250" t="s">
        <v>14</v>
      </c>
      <c r="J250" t="s">
        <v>15</v>
      </c>
      <c r="K250" t="s">
        <v>16</v>
      </c>
      <c r="L250" t="s">
        <v>2274</v>
      </c>
      <c r="M250" t="s">
        <v>2275</v>
      </c>
      <c r="N250" t="s">
        <v>2276</v>
      </c>
    </row>
    <row r="251" spans="1:14">
      <c r="A251" t="s">
        <v>1587</v>
      </c>
      <c r="B251" t="s">
        <v>1555</v>
      </c>
      <c r="C251" t="s">
        <v>1588</v>
      </c>
      <c r="D251" t="s">
        <v>1589</v>
      </c>
      <c r="E251">
        <v>11968992550</v>
      </c>
      <c r="F251" s="4">
        <v>55</v>
      </c>
      <c r="G251" s="4" t="str">
        <f t="shared" si="3"/>
        <v>5511968992550</v>
      </c>
      <c r="H251" t="s">
        <v>2780</v>
      </c>
      <c r="I251" t="s">
        <v>14</v>
      </c>
      <c r="J251" t="s">
        <v>15</v>
      </c>
      <c r="K251" t="s">
        <v>16</v>
      </c>
      <c r="L251" t="s">
        <v>2277</v>
      </c>
      <c r="M251" t="s">
        <v>2278</v>
      </c>
      <c r="N251" t="s">
        <v>2279</v>
      </c>
    </row>
    <row r="252" spans="1:14">
      <c r="A252" t="s">
        <v>1590</v>
      </c>
      <c r="B252" t="s">
        <v>1555</v>
      </c>
      <c r="C252" t="s">
        <v>1591</v>
      </c>
      <c r="D252" t="s">
        <v>1592</v>
      </c>
      <c r="E252">
        <v>37999079490</v>
      </c>
      <c r="F252" s="4">
        <v>55</v>
      </c>
      <c r="G252" s="4" t="str">
        <f t="shared" si="3"/>
        <v>5537999079490</v>
      </c>
      <c r="H252" t="s">
        <v>2789</v>
      </c>
      <c r="I252" t="s">
        <v>14</v>
      </c>
      <c r="J252" t="s">
        <v>17</v>
      </c>
      <c r="K252" t="s">
        <v>16</v>
      </c>
      <c r="L252" t="s">
        <v>2280</v>
      </c>
      <c r="M252" t="s">
        <v>2281</v>
      </c>
      <c r="N252" t="s">
        <v>2282</v>
      </c>
    </row>
    <row r="253" spans="1:14">
      <c r="A253" t="s">
        <v>1593</v>
      </c>
      <c r="B253" t="s">
        <v>1555</v>
      </c>
      <c r="C253" t="s">
        <v>1594</v>
      </c>
      <c r="D253" t="s">
        <v>1595</v>
      </c>
      <c r="E253">
        <v>12997118947</v>
      </c>
      <c r="F253" s="4">
        <v>55</v>
      </c>
      <c r="G253" s="4" t="str">
        <f t="shared" si="3"/>
        <v>5512997118947</v>
      </c>
      <c r="H253" t="s">
        <v>2789</v>
      </c>
      <c r="I253" t="s">
        <v>14</v>
      </c>
      <c r="J253" t="s">
        <v>19</v>
      </c>
      <c r="K253" t="s">
        <v>16</v>
      </c>
      <c r="L253" t="s">
        <v>2283</v>
      </c>
      <c r="M253" t="s">
        <v>2284</v>
      </c>
      <c r="N253" t="s">
        <v>2285</v>
      </c>
    </row>
    <row r="254" spans="1:14">
      <c r="A254" t="s">
        <v>1596</v>
      </c>
      <c r="B254" t="s">
        <v>1555</v>
      </c>
      <c r="C254" t="s">
        <v>1597</v>
      </c>
      <c r="D254" t="s">
        <v>1598</v>
      </c>
      <c r="E254">
        <v>12981311641</v>
      </c>
      <c r="F254" s="4">
        <v>55</v>
      </c>
      <c r="G254" s="4" t="str">
        <f t="shared" si="3"/>
        <v>5512981311641</v>
      </c>
      <c r="H254" t="s">
        <v>2781</v>
      </c>
      <c r="I254" t="s">
        <v>14</v>
      </c>
      <c r="J254" t="s">
        <v>19</v>
      </c>
      <c r="K254" t="s">
        <v>16</v>
      </c>
      <c r="L254" t="s">
        <v>2286</v>
      </c>
      <c r="M254" t="s">
        <v>405</v>
      </c>
      <c r="N254" t="s">
        <v>405</v>
      </c>
    </row>
    <row r="255" spans="1:14">
      <c r="A255" t="s">
        <v>1599</v>
      </c>
      <c r="B255" t="s">
        <v>1555</v>
      </c>
      <c r="C255" t="s">
        <v>1600</v>
      </c>
      <c r="D255" t="s">
        <v>1601</v>
      </c>
      <c r="E255">
        <v>71993824387</v>
      </c>
      <c r="F255" s="4">
        <v>55</v>
      </c>
      <c r="G255" s="4" t="str">
        <f t="shared" si="3"/>
        <v>5571993824387</v>
      </c>
      <c r="H255" t="s">
        <v>2789</v>
      </c>
      <c r="I255" t="s">
        <v>14</v>
      </c>
      <c r="J255" t="s">
        <v>19</v>
      </c>
      <c r="K255" t="s">
        <v>16</v>
      </c>
      <c r="L255" t="s">
        <v>2287</v>
      </c>
      <c r="M255" t="s">
        <v>2288</v>
      </c>
      <c r="N255" t="s">
        <v>2289</v>
      </c>
    </row>
    <row r="256" spans="1:14">
      <c r="A256" t="s">
        <v>1602</v>
      </c>
      <c r="B256" t="s">
        <v>1555</v>
      </c>
      <c r="C256" t="s">
        <v>1603</v>
      </c>
      <c r="D256" t="s">
        <v>51</v>
      </c>
      <c r="E256">
        <v>12981732227</v>
      </c>
      <c r="F256" s="4">
        <v>55</v>
      </c>
      <c r="G256" s="4" t="str">
        <f t="shared" si="3"/>
        <v>5512981732227</v>
      </c>
      <c r="H256" t="s">
        <v>2789</v>
      </c>
      <c r="I256" t="s">
        <v>14</v>
      </c>
      <c r="J256" t="s">
        <v>19</v>
      </c>
      <c r="K256" t="s">
        <v>16</v>
      </c>
      <c r="L256" t="s">
        <v>2290</v>
      </c>
      <c r="M256" t="s">
        <v>2291</v>
      </c>
      <c r="N256" t="s">
        <v>2292</v>
      </c>
    </row>
    <row r="257" spans="1:14">
      <c r="A257" t="s">
        <v>1604</v>
      </c>
      <c r="B257" t="s">
        <v>1555</v>
      </c>
      <c r="C257" t="s">
        <v>1605</v>
      </c>
      <c r="D257" t="s">
        <v>1606</v>
      </c>
      <c r="E257">
        <v>12996196272</v>
      </c>
      <c r="F257" s="4">
        <v>55</v>
      </c>
      <c r="G257" s="4" t="str">
        <f t="shared" si="3"/>
        <v>5512996196272</v>
      </c>
      <c r="H257" t="s">
        <v>2780</v>
      </c>
      <c r="I257" t="s">
        <v>14</v>
      </c>
      <c r="J257" t="s">
        <v>19</v>
      </c>
      <c r="K257" t="s">
        <v>16</v>
      </c>
      <c r="L257" t="s">
        <v>2293</v>
      </c>
      <c r="M257" t="s">
        <v>2294</v>
      </c>
      <c r="N257" t="s">
        <v>2295</v>
      </c>
    </row>
    <row r="258" spans="1:14">
      <c r="A258" t="s">
        <v>1607</v>
      </c>
      <c r="B258" t="s">
        <v>1555</v>
      </c>
      <c r="C258" t="s">
        <v>1608</v>
      </c>
      <c r="D258" t="s">
        <v>54</v>
      </c>
      <c r="E258">
        <v>11940818409</v>
      </c>
      <c r="F258" s="4">
        <v>55</v>
      </c>
      <c r="G258" s="4" t="str">
        <f t="shared" si="3"/>
        <v>5511940818409</v>
      </c>
      <c r="H258" t="s">
        <v>2781</v>
      </c>
      <c r="I258" t="s">
        <v>14</v>
      </c>
      <c r="J258" t="s">
        <v>15</v>
      </c>
      <c r="K258" t="s">
        <v>16</v>
      </c>
      <c r="L258" t="s">
        <v>2296</v>
      </c>
      <c r="M258" t="s">
        <v>405</v>
      </c>
      <c r="N258" t="s">
        <v>405</v>
      </c>
    </row>
    <row r="259" spans="1:14">
      <c r="A259" t="s">
        <v>1609</v>
      </c>
      <c r="B259" t="s">
        <v>1555</v>
      </c>
      <c r="C259" t="s">
        <v>1610</v>
      </c>
      <c r="D259" t="s">
        <v>1611</v>
      </c>
      <c r="E259">
        <v>31997905737</v>
      </c>
      <c r="F259" s="4">
        <v>55</v>
      </c>
      <c r="G259" s="4" t="str">
        <f t="shared" ref="G259:G322" si="4">CONCATENATE(F259,E259)</f>
        <v>5531997905737</v>
      </c>
      <c r="H259" t="s">
        <v>2781</v>
      </c>
      <c r="I259" t="s">
        <v>14</v>
      </c>
      <c r="J259" t="s">
        <v>17</v>
      </c>
      <c r="K259" t="s">
        <v>16</v>
      </c>
      <c r="L259" t="s">
        <v>2297</v>
      </c>
      <c r="M259" t="s">
        <v>405</v>
      </c>
      <c r="N259" t="s">
        <v>405</v>
      </c>
    </row>
    <row r="260" spans="1:14">
      <c r="A260" t="s">
        <v>1612</v>
      </c>
      <c r="B260" t="s">
        <v>1555</v>
      </c>
      <c r="C260" t="s">
        <v>1613</v>
      </c>
      <c r="D260" t="s">
        <v>1611</v>
      </c>
      <c r="E260">
        <v>31997905737</v>
      </c>
      <c r="F260" s="4">
        <v>55</v>
      </c>
      <c r="G260" s="4" t="str">
        <f t="shared" si="4"/>
        <v>5531997905737</v>
      </c>
      <c r="H260" t="s">
        <v>2781</v>
      </c>
      <c r="I260" t="s">
        <v>14</v>
      </c>
      <c r="J260" t="s">
        <v>17</v>
      </c>
      <c r="K260" t="s">
        <v>16</v>
      </c>
      <c r="L260" t="s">
        <v>2298</v>
      </c>
      <c r="M260" t="s">
        <v>405</v>
      </c>
      <c r="N260" t="s">
        <v>405</v>
      </c>
    </row>
    <row r="261" spans="1:14">
      <c r="A261" t="s">
        <v>1614</v>
      </c>
      <c r="B261" t="s">
        <v>1555</v>
      </c>
      <c r="C261" t="s">
        <v>1615</v>
      </c>
      <c r="D261" t="s">
        <v>1611</v>
      </c>
      <c r="E261">
        <v>31997905737</v>
      </c>
      <c r="F261" s="4">
        <v>55</v>
      </c>
      <c r="G261" s="4" t="str">
        <f t="shared" si="4"/>
        <v>5531997905737</v>
      </c>
      <c r="H261" t="s">
        <v>2781</v>
      </c>
      <c r="I261" t="s">
        <v>14</v>
      </c>
      <c r="J261" t="s">
        <v>17</v>
      </c>
      <c r="K261" t="s">
        <v>16</v>
      </c>
      <c r="L261" t="s">
        <v>2299</v>
      </c>
      <c r="M261" t="s">
        <v>405</v>
      </c>
      <c r="N261" t="s">
        <v>405</v>
      </c>
    </row>
    <row r="262" spans="1:14">
      <c r="A262" t="s">
        <v>1616</v>
      </c>
      <c r="B262" t="s">
        <v>1555</v>
      </c>
      <c r="C262" t="s">
        <v>1617</v>
      </c>
      <c r="D262" t="s">
        <v>1618</v>
      </c>
      <c r="F262" s="4">
        <v>55</v>
      </c>
      <c r="G262" s="4" t="str">
        <f t="shared" si="4"/>
        <v>55</v>
      </c>
      <c r="H262" t="s">
        <v>2780</v>
      </c>
      <c r="I262" t="s">
        <v>14</v>
      </c>
      <c r="J262" t="s">
        <v>15</v>
      </c>
      <c r="K262" t="s">
        <v>16</v>
      </c>
      <c r="L262" t="s">
        <v>2300</v>
      </c>
      <c r="M262" t="s">
        <v>2301</v>
      </c>
      <c r="N262" t="s">
        <v>2302</v>
      </c>
    </row>
    <row r="263" spans="1:14">
      <c r="A263" t="s">
        <v>1619</v>
      </c>
      <c r="B263" t="s">
        <v>1555</v>
      </c>
      <c r="C263" t="s">
        <v>1620</v>
      </c>
      <c r="D263" t="s">
        <v>1621</v>
      </c>
      <c r="E263">
        <v>12982332670</v>
      </c>
      <c r="F263" s="4">
        <v>55</v>
      </c>
      <c r="G263" s="4" t="str">
        <f t="shared" si="4"/>
        <v>5512982332670</v>
      </c>
      <c r="H263" t="s">
        <v>2781</v>
      </c>
      <c r="I263" t="s">
        <v>14</v>
      </c>
      <c r="J263" t="s">
        <v>19</v>
      </c>
      <c r="K263" t="s">
        <v>16</v>
      </c>
      <c r="L263" t="s">
        <v>2303</v>
      </c>
      <c r="M263" t="s">
        <v>405</v>
      </c>
      <c r="N263" t="s">
        <v>405</v>
      </c>
    </row>
    <row r="264" spans="1:14">
      <c r="A264" t="s">
        <v>1622</v>
      </c>
      <c r="B264" t="s">
        <v>1555</v>
      </c>
      <c r="C264" t="s">
        <v>1623</v>
      </c>
      <c r="D264" t="s">
        <v>1624</v>
      </c>
      <c r="E264">
        <v>11947804023</v>
      </c>
      <c r="F264" s="4">
        <v>55</v>
      </c>
      <c r="G264" s="4" t="str">
        <f t="shared" si="4"/>
        <v>5511947804023</v>
      </c>
      <c r="H264" t="s">
        <v>2780</v>
      </c>
      <c r="I264" t="s">
        <v>14</v>
      </c>
      <c r="J264" t="s">
        <v>15</v>
      </c>
      <c r="K264" t="s">
        <v>16</v>
      </c>
      <c r="L264" t="s">
        <v>2304</v>
      </c>
      <c r="M264" t="s">
        <v>2305</v>
      </c>
      <c r="N264" t="s">
        <v>2306</v>
      </c>
    </row>
    <row r="265" spans="1:14">
      <c r="A265" t="s">
        <v>1625</v>
      </c>
      <c r="B265" t="s">
        <v>1626</v>
      </c>
      <c r="C265" t="s">
        <v>1627</v>
      </c>
      <c r="D265" t="s">
        <v>1628</v>
      </c>
      <c r="E265">
        <v>51999858284</v>
      </c>
      <c r="F265" s="4">
        <v>55</v>
      </c>
      <c r="G265" s="4" t="str">
        <f t="shared" si="4"/>
        <v>5551999858284</v>
      </c>
      <c r="H265" t="s">
        <v>2786</v>
      </c>
      <c r="I265" t="s">
        <v>14</v>
      </c>
      <c r="J265" t="s">
        <v>18</v>
      </c>
      <c r="K265" t="s">
        <v>16</v>
      </c>
      <c r="L265" t="s">
        <v>2307</v>
      </c>
      <c r="M265" t="s">
        <v>405</v>
      </c>
      <c r="N265" t="s">
        <v>405</v>
      </c>
    </row>
    <row r="266" spans="1:14">
      <c r="A266" t="s">
        <v>1629</v>
      </c>
      <c r="B266" t="s">
        <v>1626</v>
      </c>
      <c r="C266" t="s">
        <v>1630</v>
      </c>
      <c r="D266" t="s">
        <v>1631</v>
      </c>
      <c r="E266">
        <v>11981042054</v>
      </c>
      <c r="F266" s="4">
        <v>55</v>
      </c>
      <c r="G266" s="4" t="str">
        <f t="shared" si="4"/>
        <v>5511981042054</v>
      </c>
      <c r="H266" t="s">
        <v>2786</v>
      </c>
      <c r="I266" t="s">
        <v>14</v>
      </c>
      <c r="J266" t="s">
        <v>19</v>
      </c>
      <c r="K266" t="s">
        <v>16</v>
      </c>
      <c r="L266" t="s">
        <v>2308</v>
      </c>
      <c r="M266" t="s">
        <v>405</v>
      </c>
      <c r="N266" t="s">
        <v>405</v>
      </c>
    </row>
    <row r="267" spans="1:14">
      <c r="A267" t="s">
        <v>1632</v>
      </c>
      <c r="B267" t="s">
        <v>1626</v>
      </c>
      <c r="C267" t="s">
        <v>1630</v>
      </c>
      <c r="D267" t="s">
        <v>1631</v>
      </c>
      <c r="E267">
        <v>11981042054</v>
      </c>
      <c r="F267" s="4">
        <v>55</v>
      </c>
      <c r="G267" s="4" t="str">
        <f t="shared" si="4"/>
        <v>5511981042054</v>
      </c>
      <c r="H267" t="s">
        <v>2787</v>
      </c>
      <c r="I267" t="s">
        <v>14</v>
      </c>
      <c r="J267" t="s">
        <v>19</v>
      </c>
      <c r="K267" t="s">
        <v>16</v>
      </c>
      <c r="L267" t="s">
        <v>2308</v>
      </c>
      <c r="M267" t="s">
        <v>2309</v>
      </c>
      <c r="N267" t="s">
        <v>2310</v>
      </c>
    </row>
    <row r="268" spans="1:14">
      <c r="A268" t="s">
        <v>1633</v>
      </c>
      <c r="B268" t="s">
        <v>1626</v>
      </c>
      <c r="C268" t="s">
        <v>1634</v>
      </c>
      <c r="D268" t="s">
        <v>650</v>
      </c>
      <c r="F268" s="4">
        <v>55</v>
      </c>
      <c r="G268" s="4" t="str">
        <f t="shared" si="4"/>
        <v>55</v>
      </c>
      <c r="H268" t="s">
        <v>2790</v>
      </c>
      <c r="I268" t="s">
        <v>14</v>
      </c>
      <c r="J268" t="s">
        <v>15</v>
      </c>
      <c r="K268" t="s">
        <v>16</v>
      </c>
      <c r="L268" t="s">
        <v>2311</v>
      </c>
      <c r="M268" t="s">
        <v>2312</v>
      </c>
      <c r="N268" t="s">
        <v>2313</v>
      </c>
    </row>
    <row r="269" spans="1:14">
      <c r="A269" t="s">
        <v>1635</v>
      </c>
      <c r="B269" t="s">
        <v>1626</v>
      </c>
      <c r="C269" t="s">
        <v>1636</v>
      </c>
      <c r="D269" t="s">
        <v>650</v>
      </c>
      <c r="F269" s="4">
        <v>55</v>
      </c>
      <c r="G269" s="4" t="str">
        <f t="shared" si="4"/>
        <v>55</v>
      </c>
      <c r="H269" t="s">
        <v>2790</v>
      </c>
      <c r="I269" t="s">
        <v>14</v>
      </c>
      <c r="J269" t="s">
        <v>15</v>
      </c>
      <c r="K269" t="s">
        <v>16</v>
      </c>
      <c r="L269" t="s">
        <v>2314</v>
      </c>
      <c r="M269" t="s">
        <v>2315</v>
      </c>
      <c r="N269" t="s">
        <v>2316</v>
      </c>
    </row>
    <row r="270" spans="1:14">
      <c r="A270" t="s">
        <v>1637</v>
      </c>
      <c r="B270" t="s">
        <v>1626</v>
      </c>
      <c r="C270" t="s">
        <v>1638</v>
      </c>
      <c r="D270" t="s">
        <v>1639</v>
      </c>
      <c r="E270">
        <v>51984878777</v>
      </c>
      <c r="F270" s="4">
        <v>55</v>
      </c>
      <c r="G270" s="4" t="str">
        <f t="shared" si="4"/>
        <v>5551984878777</v>
      </c>
      <c r="H270" t="s">
        <v>2789</v>
      </c>
      <c r="I270" t="s">
        <v>14</v>
      </c>
      <c r="J270" t="s">
        <v>19</v>
      </c>
      <c r="K270" t="s">
        <v>16</v>
      </c>
      <c r="L270" t="s">
        <v>2317</v>
      </c>
      <c r="M270" t="s">
        <v>2318</v>
      </c>
      <c r="N270" t="s">
        <v>2319</v>
      </c>
    </row>
    <row r="271" spans="1:14">
      <c r="A271" t="s">
        <v>1640</v>
      </c>
      <c r="B271" t="s">
        <v>1626</v>
      </c>
      <c r="C271" t="s">
        <v>1641</v>
      </c>
      <c r="D271" t="s">
        <v>1642</v>
      </c>
      <c r="E271">
        <v>12982486983</v>
      </c>
      <c r="F271" s="4">
        <v>55</v>
      </c>
      <c r="G271" s="4" t="str">
        <f t="shared" si="4"/>
        <v>5512982486983</v>
      </c>
      <c r="H271" t="s">
        <v>2780</v>
      </c>
      <c r="I271" t="s">
        <v>14</v>
      </c>
      <c r="J271" t="s">
        <v>19</v>
      </c>
      <c r="K271" t="s">
        <v>16</v>
      </c>
      <c r="L271" t="s">
        <v>2320</v>
      </c>
      <c r="M271" t="s">
        <v>2321</v>
      </c>
      <c r="N271" t="s">
        <v>2322</v>
      </c>
    </row>
    <row r="272" spans="1:14">
      <c r="A272" t="s">
        <v>1643</v>
      </c>
      <c r="B272" t="s">
        <v>1626</v>
      </c>
      <c r="C272" t="s">
        <v>1644</v>
      </c>
      <c r="D272" t="s">
        <v>1645</v>
      </c>
      <c r="E272">
        <v>11982417151</v>
      </c>
      <c r="F272" s="4">
        <v>55</v>
      </c>
      <c r="G272" s="4" t="str">
        <f t="shared" si="4"/>
        <v>5511982417151</v>
      </c>
      <c r="H272" t="s">
        <v>2780</v>
      </c>
      <c r="I272" t="s">
        <v>14</v>
      </c>
      <c r="J272" t="s">
        <v>15</v>
      </c>
      <c r="K272" t="s">
        <v>16</v>
      </c>
      <c r="L272" t="s">
        <v>2323</v>
      </c>
      <c r="M272" t="s">
        <v>2324</v>
      </c>
      <c r="N272" t="s">
        <v>2325</v>
      </c>
    </row>
    <row r="273" spans="1:14">
      <c r="A273" t="s">
        <v>1646</v>
      </c>
      <c r="B273" t="s">
        <v>1626</v>
      </c>
      <c r="C273" t="s">
        <v>1647</v>
      </c>
      <c r="D273" t="s">
        <v>42</v>
      </c>
      <c r="E273">
        <v>11992755552</v>
      </c>
      <c r="F273" s="4">
        <v>55</v>
      </c>
      <c r="G273" s="4" t="str">
        <f t="shared" si="4"/>
        <v>5511992755552</v>
      </c>
      <c r="H273" t="s">
        <v>2789</v>
      </c>
      <c r="I273" t="s">
        <v>14</v>
      </c>
      <c r="J273" t="s">
        <v>19</v>
      </c>
      <c r="K273" t="s">
        <v>16</v>
      </c>
      <c r="L273" t="s">
        <v>2326</v>
      </c>
      <c r="M273" t="s">
        <v>2327</v>
      </c>
      <c r="N273" t="s">
        <v>2328</v>
      </c>
    </row>
    <row r="274" spans="1:14">
      <c r="A274" t="s">
        <v>1648</v>
      </c>
      <c r="B274" t="s">
        <v>1626</v>
      </c>
      <c r="C274" t="s">
        <v>1649</v>
      </c>
      <c r="D274" t="s">
        <v>227</v>
      </c>
      <c r="F274" s="4">
        <v>55</v>
      </c>
      <c r="G274" s="4" t="str">
        <f t="shared" si="4"/>
        <v>55</v>
      </c>
      <c r="H274" t="s">
        <v>2789</v>
      </c>
      <c r="I274" t="s">
        <v>14</v>
      </c>
      <c r="J274" t="s">
        <v>15</v>
      </c>
      <c r="K274" t="s">
        <v>16</v>
      </c>
      <c r="L274" t="s">
        <v>2329</v>
      </c>
      <c r="M274" t="s">
        <v>2330</v>
      </c>
      <c r="N274" t="s">
        <v>2331</v>
      </c>
    </row>
    <row r="275" spans="1:14">
      <c r="A275" t="s">
        <v>1650</v>
      </c>
      <c r="B275" t="s">
        <v>1626</v>
      </c>
      <c r="C275" t="s">
        <v>1651</v>
      </c>
      <c r="D275" t="s">
        <v>1652</v>
      </c>
      <c r="E275">
        <v>31986413469</v>
      </c>
      <c r="F275" s="4">
        <v>55</v>
      </c>
      <c r="G275" s="4" t="str">
        <f t="shared" si="4"/>
        <v>5531986413469</v>
      </c>
      <c r="H275" t="s">
        <v>2789</v>
      </c>
      <c r="I275" t="s">
        <v>14</v>
      </c>
      <c r="J275" t="s">
        <v>17</v>
      </c>
      <c r="K275" t="s">
        <v>16</v>
      </c>
      <c r="L275" t="s">
        <v>2332</v>
      </c>
      <c r="M275" t="s">
        <v>2333</v>
      </c>
      <c r="N275" t="s">
        <v>2334</v>
      </c>
    </row>
    <row r="276" spans="1:14">
      <c r="A276" t="s">
        <v>1653</v>
      </c>
      <c r="B276" t="s">
        <v>1626</v>
      </c>
      <c r="C276" t="s">
        <v>1654</v>
      </c>
      <c r="D276" t="s">
        <v>1655</v>
      </c>
      <c r="E276">
        <v>11998351405</v>
      </c>
      <c r="F276" s="4">
        <v>55</v>
      </c>
      <c r="G276" s="4" t="str">
        <f t="shared" si="4"/>
        <v>5511998351405</v>
      </c>
      <c r="H276" t="s">
        <v>2780</v>
      </c>
      <c r="I276" t="s">
        <v>14</v>
      </c>
      <c r="J276" t="s">
        <v>19</v>
      </c>
      <c r="K276" t="s">
        <v>16</v>
      </c>
      <c r="L276" t="s">
        <v>2335</v>
      </c>
      <c r="M276" t="s">
        <v>2336</v>
      </c>
      <c r="N276" t="s">
        <v>2337</v>
      </c>
    </row>
    <row r="277" spans="1:14">
      <c r="A277" t="s">
        <v>1656</v>
      </c>
      <c r="B277" t="s">
        <v>1626</v>
      </c>
      <c r="C277" t="s">
        <v>1657</v>
      </c>
      <c r="D277" t="s">
        <v>1658</v>
      </c>
      <c r="E277">
        <v>12981695901</v>
      </c>
      <c r="F277" s="4">
        <v>55</v>
      </c>
      <c r="G277" s="4" t="str">
        <f t="shared" si="4"/>
        <v>5512981695901</v>
      </c>
      <c r="H277" t="s">
        <v>2780</v>
      </c>
      <c r="I277" t="s">
        <v>14</v>
      </c>
      <c r="J277" t="s">
        <v>19</v>
      </c>
      <c r="K277" t="s">
        <v>16</v>
      </c>
      <c r="L277" t="s">
        <v>2338</v>
      </c>
      <c r="M277" t="s">
        <v>2339</v>
      </c>
      <c r="N277" t="s">
        <v>2340</v>
      </c>
    </row>
    <row r="278" spans="1:14">
      <c r="A278" t="s">
        <v>1659</v>
      </c>
      <c r="B278" t="s">
        <v>1626</v>
      </c>
      <c r="C278" t="s">
        <v>1660</v>
      </c>
      <c r="D278" t="s">
        <v>1661</v>
      </c>
      <c r="E278">
        <v>12997209947</v>
      </c>
      <c r="F278" s="4">
        <v>55</v>
      </c>
      <c r="G278" s="4" t="str">
        <f t="shared" si="4"/>
        <v>5512997209947</v>
      </c>
      <c r="H278" t="s">
        <v>2780</v>
      </c>
      <c r="I278" t="s">
        <v>14</v>
      </c>
      <c r="J278" t="s">
        <v>19</v>
      </c>
      <c r="K278" t="s">
        <v>16</v>
      </c>
      <c r="L278" t="s">
        <v>2341</v>
      </c>
      <c r="M278" t="s">
        <v>2342</v>
      </c>
      <c r="N278" t="s">
        <v>2343</v>
      </c>
    </row>
    <row r="279" spans="1:14">
      <c r="A279" t="s">
        <v>1662</v>
      </c>
      <c r="B279" t="s">
        <v>1626</v>
      </c>
      <c r="C279" t="s">
        <v>1663</v>
      </c>
      <c r="D279" t="s">
        <v>1664</v>
      </c>
      <c r="E279">
        <v>11971926383</v>
      </c>
      <c r="F279" s="4">
        <v>55</v>
      </c>
      <c r="G279" s="4" t="str">
        <f t="shared" si="4"/>
        <v>5511971926383</v>
      </c>
      <c r="H279" t="s">
        <v>2780</v>
      </c>
      <c r="I279" t="s">
        <v>14</v>
      </c>
      <c r="J279" t="s">
        <v>19</v>
      </c>
      <c r="K279" t="s">
        <v>16</v>
      </c>
      <c r="L279" t="s">
        <v>2344</v>
      </c>
      <c r="M279" t="s">
        <v>2345</v>
      </c>
      <c r="N279" t="s">
        <v>2346</v>
      </c>
    </row>
    <row r="280" spans="1:14">
      <c r="A280" t="s">
        <v>1665</v>
      </c>
      <c r="B280" t="s">
        <v>1626</v>
      </c>
      <c r="C280" t="s">
        <v>1666</v>
      </c>
      <c r="D280" t="s">
        <v>1667</v>
      </c>
      <c r="E280">
        <v>12996524123</v>
      </c>
      <c r="F280" s="4">
        <v>55</v>
      </c>
      <c r="G280" s="4" t="str">
        <f t="shared" si="4"/>
        <v>5512996524123</v>
      </c>
      <c r="H280" t="s">
        <v>2789</v>
      </c>
      <c r="I280" t="s">
        <v>14</v>
      </c>
      <c r="J280" t="s">
        <v>19</v>
      </c>
      <c r="K280" t="s">
        <v>16</v>
      </c>
      <c r="L280" t="s">
        <v>2347</v>
      </c>
      <c r="M280" t="s">
        <v>2348</v>
      </c>
      <c r="N280" t="s">
        <v>2349</v>
      </c>
    </row>
    <row r="281" spans="1:14">
      <c r="A281" t="s">
        <v>1668</v>
      </c>
      <c r="B281" t="s">
        <v>1626</v>
      </c>
      <c r="C281" t="s">
        <v>1669</v>
      </c>
      <c r="D281" t="s">
        <v>1670</v>
      </c>
      <c r="E281">
        <v>31987886482</v>
      </c>
      <c r="F281" s="4">
        <v>55</v>
      </c>
      <c r="G281" s="4" t="str">
        <f t="shared" si="4"/>
        <v>5531987886482</v>
      </c>
      <c r="H281" t="s">
        <v>2789</v>
      </c>
      <c r="I281" t="s">
        <v>14</v>
      </c>
      <c r="J281" t="s">
        <v>17</v>
      </c>
      <c r="K281" t="s">
        <v>16</v>
      </c>
      <c r="L281" t="s">
        <v>2350</v>
      </c>
      <c r="M281" t="s">
        <v>2351</v>
      </c>
      <c r="N281" t="s">
        <v>2352</v>
      </c>
    </row>
    <row r="282" spans="1:14">
      <c r="A282" t="s">
        <v>1671</v>
      </c>
      <c r="B282" t="s">
        <v>1626</v>
      </c>
      <c r="C282" t="s">
        <v>1672</v>
      </c>
      <c r="D282" t="s">
        <v>1673</v>
      </c>
      <c r="E282">
        <v>74999619750</v>
      </c>
      <c r="F282" s="4">
        <v>55</v>
      </c>
      <c r="G282" s="4" t="str">
        <f t="shared" si="4"/>
        <v>5574999619750</v>
      </c>
      <c r="H282" t="s">
        <v>2781</v>
      </c>
      <c r="I282" t="s">
        <v>14</v>
      </c>
      <c r="J282" t="s">
        <v>17</v>
      </c>
      <c r="K282" t="s">
        <v>16</v>
      </c>
      <c r="L282" t="s">
        <v>2353</v>
      </c>
      <c r="M282" t="s">
        <v>405</v>
      </c>
      <c r="N282" t="s">
        <v>405</v>
      </c>
    </row>
    <row r="283" spans="1:14">
      <c r="A283" t="s">
        <v>1674</v>
      </c>
      <c r="B283" t="s">
        <v>1626</v>
      </c>
      <c r="C283" t="s">
        <v>1675</v>
      </c>
      <c r="D283" t="s">
        <v>1676</v>
      </c>
      <c r="E283">
        <v>12991086463</v>
      </c>
      <c r="F283" s="4">
        <v>55</v>
      </c>
      <c r="G283" s="4" t="str">
        <f t="shared" si="4"/>
        <v>5512991086463</v>
      </c>
      <c r="H283" t="s">
        <v>2789</v>
      </c>
      <c r="I283" t="s">
        <v>14</v>
      </c>
      <c r="J283" t="s">
        <v>19</v>
      </c>
      <c r="K283" t="s">
        <v>16</v>
      </c>
      <c r="L283" t="s">
        <v>2354</v>
      </c>
      <c r="M283" t="s">
        <v>2355</v>
      </c>
      <c r="N283" t="s">
        <v>2356</v>
      </c>
    </row>
    <row r="284" spans="1:14">
      <c r="A284" t="s">
        <v>1677</v>
      </c>
      <c r="B284" t="s">
        <v>1626</v>
      </c>
      <c r="C284" t="s">
        <v>1678</v>
      </c>
      <c r="D284" t="s">
        <v>1679</v>
      </c>
      <c r="F284" s="4">
        <v>55</v>
      </c>
      <c r="G284" s="4" t="str">
        <f t="shared" si="4"/>
        <v>55</v>
      </c>
      <c r="H284" t="s">
        <v>2781</v>
      </c>
      <c r="I284" t="s">
        <v>14</v>
      </c>
      <c r="J284" t="s">
        <v>15</v>
      </c>
      <c r="K284" t="s">
        <v>16</v>
      </c>
      <c r="L284" t="s">
        <v>2357</v>
      </c>
      <c r="M284" t="s">
        <v>405</v>
      </c>
      <c r="N284" t="s">
        <v>405</v>
      </c>
    </row>
    <row r="285" spans="1:14">
      <c r="A285" t="s">
        <v>1680</v>
      </c>
      <c r="B285" t="s">
        <v>1626</v>
      </c>
      <c r="C285" t="s">
        <v>1681</v>
      </c>
      <c r="D285" t="s">
        <v>1682</v>
      </c>
      <c r="E285">
        <v>12981964431</v>
      </c>
      <c r="F285" s="4">
        <v>55</v>
      </c>
      <c r="G285" s="4" t="str">
        <f t="shared" si="4"/>
        <v>5512981964431</v>
      </c>
      <c r="H285" t="s">
        <v>2781</v>
      </c>
      <c r="I285" t="s">
        <v>14</v>
      </c>
      <c r="J285" t="s">
        <v>19</v>
      </c>
      <c r="K285" t="s">
        <v>16</v>
      </c>
      <c r="L285" t="s">
        <v>2358</v>
      </c>
      <c r="M285" t="s">
        <v>405</v>
      </c>
      <c r="N285" t="s">
        <v>405</v>
      </c>
    </row>
    <row r="286" spans="1:14">
      <c r="A286" t="s">
        <v>1683</v>
      </c>
      <c r="B286" t="s">
        <v>1684</v>
      </c>
      <c r="C286" t="s">
        <v>1685</v>
      </c>
      <c r="D286" t="s">
        <v>1686</v>
      </c>
      <c r="E286">
        <v>11999183595</v>
      </c>
      <c r="F286" s="4">
        <v>55</v>
      </c>
      <c r="G286" s="4" t="str">
        <f t="shared" si="4"/>
        <v>5511999183595</v>
      </c>
      <c r="H286" t="s">
        <v>2786</v>
      </c>
      <c r="I286" t="s">
        <v>14</v>
      </c>
      <c r="J286" t="s">
        <v>1229</v>
      </c>
      <c r="K286" t="s">
        <v>16</v>
      </c>
      <c r="L286" t="s">
        <v>2359</v>
      </c>
      <c r="M286" t="s">
        <v>405</v>
      </c>
      <c r="N286" t="s">
        <v>405</v>
      </c>
    </row>
    <row r="287" spans="1:14">
      <c r="A287" t="s">
        <v>1687</v>
      </c>
      <c r="B287" t="s">
        <v>1684</v>
      </c>
      <c r="C287" t="s">
        <v>1688</v>
      </c>
      <c r="D287" t="s">
        <v>1689</v>
      </c>
      <c r="E287">
        <v>11998831808</v>
      </c>
      <c r="F287" s="4">
        <v>55</v>
      </c>
      <c r="G287" s="4" t="str">
        <f t="shared" si="4"/>
        <v>5511998831808</v>
      </c>
      <c r="H287" t="s">
        <v>2798</v>
      </c>
      <c r="I287" t="s">
        <v>14</v>
      </c>
      <c r="J287" t="s">
        <v>18</v>
      </c>
      <c r="K287" t="s">
        <v>16</v>
      </c>
      <c r="L287" t="s">
        <v>2360</v>
      </c>
      <c r="M287" t="s">
        <v>2361</v>
      </c>
      <c r="N287" t="s">
        <v>2362</v>
      </c>
    </row>
    <row r="288" spans="1:14">
      <c r="A288" t="s">
        <v>1690</v>
      </c>
      <c r="B288" t="s">
        <v>1684</v>
      </c>
      <c r="C288" t="s">
        <v>1691</v>
      </c>
      <c r="D288" t="s">
        <v>1692</v>
      </c>
      <c r="E288">
        <v>31996899574</v>
      </c>
      <c r="F288" s="4">
        <v>55</v>
      </c>
      <c r="G288" s="4" t="str">
        <f t="shared" si="4"/>
        <v>5531996899574</v>
      </c>
      <c r="H288" t="s">
        <v>2786</v>
      </c>
      <c r="I288" t="s">
        <v>14</v>
      </c>
      <c r="J288" t="s">
        <v>101</v>
      </c>
      <c r="K288" t="s">
        <v>16</v>
      </c>
      <c r="L288" t="s">
        <v>2363</v>
      </c>
      <c r="M288" t="s">
        <v>405</v>
      </c>
      <c r="N288" t="s">
        <v>405</v>
      </c>
    </row>
    <row r="289" spans="1:14">
      <c r="A289" t="s">
        <v>1693</v>
      </c>
      <c r="B289" t="s">
        <v>1684</v>
      </c>
      <c r="C289" t="s">
        <v>1694</v>
      </c>
      <c r="D289" t="s">
        <v>1695</v>
      </c>
      <c r="E289">
        <v>3138652214</v>
      </c>
      <c r="F289" s="4">
        <v>55</v>
      </c>
      <c r="G289" s="4" t="str">
        <f t="shared" si="4"/>
        <v>553138652214</v>
      </c>
      <c r="H289" t="s">
        <v>2786</v>
      </c>
      <c r="I289" t="s">
        <v>14</v>
      </c>
      <c r="J289" t="s">
        <v>101</v>
      </c>
      <c r="K289" t="s">
        <v>16</v>
      </c>
      <c r="L289" t="s">
        <v>2364</v>
      </c>
      <c r="M289" t="s">
        <v>405</v>
      </c>
      <c r="N289" t="s">
        <v>405</v>
      </c>
    </row>
    <row r="290" spans="1:14">
      <c r="A290" t="s">
        <v>1696</v>
      </c>
      <c r="B290" t="s">
        <v>1684</v>
      </c>
      <c r="C290" t="s">
        <v>1697</v>
      </c>
      <c r="D290" t="s">
        <v>1698</v>
      </c>
      <c r="E290">
        <v>11988626738</v>
      </c>
      <c r="F290" s="4">
        <v>55</v>
      </c>
      <c r="G290" s="4" t="str">
        <f t="shared" si="4"/>
        <v>5511988626738</v>
      </c>
      <c r="H290" t="s">
        <v>2786</v>
      </c>
      <c r="I290" t="s">
        <v>14</v>
      </c>
      <c r="J290" t="s">
        <v>18</v>
      </c>
      <c r="K290" t="s">
        <v>16</v>
      </c>
      <c r="L290" t="s">
        <v>2365</v>
      </c>
      <c r="M290" t="s">
        <v>405</v>
      </c>
      <c r="N290" t="s">
        <v>405</v>
      </c>
    </row>
    <row r="291" spans="1:14">
      <c r="A291" t="s">
        <v>1699</v>
      </c>
      <c r="B291" t="s">
        <v>1684</v>
      </c>
      <c r="C291" t="s">
        <v>1700</v>
      </c>
      <c r="D291" t="s">
        <v>1701</v>
      </c>
      <c r="E291">
        <v>12981785284</v>
      </c>
      <c r="F291" s="4">
        <v>55</v>
      </c>
      <c r="G291" s="4" t="str">
        <f t="shared" si="4"/>
        <v>5512981785284</v>
      </c>
      <c r="H291" t="s">
        <v>2778</v>
      </c>
      <c r="I291" t="s">
        <v>14</v>
      </c>
      <c r="J291" t="s">
        <v>19</v>
      </c>
      <c r="K291" t="s">
        <v>16</v>
      </c>
      <c r="L291" t="s">
        <v>2366</v>
      </c>
      <c r="M291" t="s">
        <v>2367</v>
      </c>
      <c r="N291" t="s">
        <v>2368</v>
      </c>
    </row>
    <row r="292" spans="1:14">
      <c r="A292" t="s">
        <v>1702</v>
      </c>
      <c r="B292" t="s">
        <v>1684</v>
      </c>
      <c r="C292" t="s">
        <v>1703</v>
      </c>
      <c r="D292" t="s">
        <v>1704</v>
      </c>
      <c r="E292">
        <v>31985093103</v>
      </c>
      <c r="F292" s="4">
        <v>55</v>
      </c>
      <c r="G292" s="4" t="str">
        <f t="shared" si="4"/>
        <v>5531985093103</v>
      </c>
      <c r="H292" t="s">
        <v>2780</v>
      </c>
      <c r="I292" t="s">
        <v>14</v>
      </c>
      <c r="J292" t="s">
        <v>17</v>
      </c>
      <c r="K292" t="s">
        <v>16</v>
      </c>
      <c r="L292" t="s">
        <v>2369</v>
      </c>
      <c r="M292" t="s">
        <v>2370</v>
      </c>
      <c r="N292" t="s">
        <v>2371</v>
      </c>
    </row>
    <row r="293" spans="1:14">
      <c r="A293" t="s">
        <v>1705</v>
      </c>
      <c r="B293" t="s">
        <v>1684</v>
      </c>
      <c r="C293" t="s">
        <v>390</v>
      </c>
      <c r="D293" t="s">
        <v>212</v>
      </c>
      <c r="E293">
        <v>11967310599</v>
      </c>
      <c r="F293" s="4">
        <v>55</v>
      </c>
      <c r="G293" s="4" t="str">
        <f t="shared" si="4"/>
        <v>5511967310599</v>
      </c>
      <c r="H293" t="s">
        <v>2789</v>
      </c>
      <c r="I293" t="s">
        <v>14</v>
      </c>
      <c r="J293" t="s">
        <v>19</v>
      </c>
      <c r="K293" t="s">
        <v>16</v>
      </c>
      <c r="L293" t="s">
        <v>391</v>
      </c>
      <c r="M293" t="s">
        <v>2372</v>
      </c>
      <c r="N293" t="s">
        <v>2373</v>
      </c>
    </row>
    <row r="294" spans="1:14">
      <c r="A294" t="s">
        <v>1706</v>
      </c>
      <c r="B294" t="s">
        <v>1684</v>
      </c>
      <c r="C294" t="s">
        <v>390</v>
      </c>
      <c r="D294" t="s">
        <v>212</v>
      </c>
      <c r="E294">
        <v>11967310599</v>
      </c>
      <c r="F294" s="4">
        <v>55</v>
      </c>
      <c r="G294" s="4" t="str">
        <f t="shared" si="4"/>
        <v>5511967310599</v>
      </c>
      <c r="H294" t="s">
        <v>2789</v>
      </c>
      <c r="I294" t="s">
        <v>14</v>
      </c>
      <c r="J294" t="s">
        <v>19</v>
      </c>
      <c r="K294" t="s">
        <v>16</v>
      </c>
      <c r="L294" t="s">
        <v>391</v>
      </c>
      <c r="M294" t="s">
        <v>2374</v>
      </c>
      <c r="N294" t="s">
        <v>2375</v>
      </c>
    </row>
    <row r="295" spans="1:14">
      <c r="A295" t="s">
        <v>1707</v>
      </c>
      <c r="B295" t="s">
        <v>1684</v>
      </c>
      <c r="C295" t="s">
        <v>1708</v>
      </c>
      <c r="D295" t="s">
        <v>212</v>
      </c>
      <c r="E295">
        <v>11967310599</v>
      </c>
      <c r="F295" s="4">
        <v>55</v>
      </c>
      <c r="G295" s="4" t="str">
        <f t="shared" si="4"/>
        <v>5511967310599</v>
      </c>
      <c r="H295" t="s">
        <v>2789</v>
      </c>
      <c r="I295" t="s">
        <v>14</v>
      </c>
      <c r="J295" t="s">
        <v>19</v>
      </c>
      <c r="K295" t="s">
        <v>16</v>
      </c>
      <c r="L295" t="s">
        <v>2376</v>
      </c>
      <c r="M295" t="s">
        <v>2377</v>
      </c>
      <c r="N295" t="s">
        <v>2378</v>
      </c>
    </row>
    <row r="296" spans="1:14">
      <c r="A296" t="s">
        <v>1709</v>
      </c>
      <c r="B296" t="s">
        <v>1684</v>
      </c>
      <c r="C296" t="s">
        <v>1710</v>
      </c>
      <c r="D296" t="s">
        <v>1711</v>
      </c>
      <c r="E296">
        <v>31984208575</v>
      </c>
      <c r="F296" s="4">
        <v>55</v>
      </c>
      <c r="G296" s="4" t="str">
        <f t="shared" si="4"/>
        <v>5531984208575</v>
      </c>
      <c r="H296" t="s">
        <v>2780</v>
      </c>
      <c r="I296" t="s">
        <v>14</v>
      </c>
      <c r="J296" t="s">
        <v>17</v>
      </c>
      <c r="K296" t="s">
        <v>16</v>
      </c>
      <c r="L296" t="s">
        <v>2379</v>
      </c>
      <c r="M296" t="s">
        <v>2380</v>
      </c>
      <c r="N296" t="s">
        <v>2381</v>
      </c>
    </row>
    <row r="297" spans="1:14">
      <c r="A297" t="s">
        <v>1712</v>
      </c>
      <c r="B297" t="s">
        <v>1684</v>
      </c>
      <c r="C297" t="s">
        <v>1713</v>
      </c>
      <c r="D297" t="s">
        <v>1714</v>
      </c>
      <c r="E297">
        <v>31988573166</v>
      </c>
      <c r="F297" s="4">
        <v>55</v>
      </c>
      <c r="G297" s="4" t="str">
        <f t="shared" si="4"/>
        <v>5531988573166</v>
      </c>
      <c r="H297" t="s">
        <v>2780</v>
      </c>
      <c r="I297" t="s">
        <v>14</v>
      </c>
      <c r="J297" t="s">
        <v>17</v>
      </c>
      <c r="K297" t="s">
        <v>16</v>
      </c>
      <c r="L297" t="s">
        <v>2382</v>
      </c>
      <c r="M297" t="s">
        <v>2383</v>
      </c>
      <c r="N297" t="s">
        <v>2384</v>
      </c>
    </row>
    <row r="298" spans="1:14">
      <c r="A298" t="s">
        <v>1715</v>
      </c>
      <c r="B298" t="s">
        <v>1684</v>
      </c>
      <c r="C298" t="s">
        <v>1716</v>
      </c>
      <c r="D298" t="s">
        <v>1717</v>
      </c>
      <c r="F298" s="4">
        <v>55</v>
      </c>
      <c r="G298" s="4" t="str">
        <f t="shared" si="4"/>
        <v>55</v>
      </c>
      <c r="H298" t="s">
        <v>2780</v>
      </c>
      <c r="I298" t="s">
        <v>14</v>
      </c>
      <c r="J298" t="s">
        <v>15</v>
      </c>
      <c r="K298" t="s">
        <v>16</v>
      </c>
      <c r="L298" t="s">
        <v>2385</v>
      </c>
      <c r="M298" t="s">
        <v>2386</v>
      </c>
      <c r="N298" t="s">
        <v>2387</v>
      </c>
    </row>
    <row r="299" spans="1:14">
      <c r="A299" t="s">
        <v>1718</v>
      </c>
      <c r="B299" t="s">
        <v>1684</v>
      </c>
      <c r="C299" t="s">
        <v>1719</v>
      </c>
      <c r="D299" t="s">
        <v>1720</v>
      </c>
      <c r="E299">
        <v>11995996800</v>
      </c>
      <c r="F299" s="4">
        <v>55</v>
      </c>
      <c r="G299" s="4" t="str">
        <f t="shared" si="4"/>
        <v>5511995996800</v>
      </c>
      <c r="H299" t="s">
        <v>2780</v>
      </c>
      <c r="I299" t="s">
        <v>14</v>
      </c>
      <c r="J299" t="s">
        <v>15</v>
      </c>
      <c r="K299" t="s">
        <v>16</v>
      </c>
      <c r="L299" t="s">
        <v>2388</v>
      </c>
      <c r="M299" t="s">
        <v>2389</v>
      </c>
      <c r="N299" t="s">
        <v>2390</v>
      </c>
    </row>
    <row r="300" spans="1:14">
      <c r="A300" t="s">
        <v>1721</v>
      </c>
      <c r="B300" t="s">
        <v>1684</v>
      </c>
      <c r="C300" t="s">
        <v>1722</v>
      </c>
      <c r="D300" t="s">
        <v>1723</v>
      </c>
      <c r="E300">
        <v>31971960139</v>
      </c>
      <c r="F300" s="4">
        <v>55</v>
      </c>
      <c r="G300" s="4" t="str">
        <f t="shared" si="4"/>
        <v>5531971960139</v>
      </c>
      <c r="H300" t="s">
        <v>2789</v>
      </c>
      <c r="I300" t="s">
        <v>14</v>
      </c>
      <c r="J300" t="s">
        <v>17</v>
      </c>
      <c r="K300" t="s">
        <v>16</v>
      </c>
      <c r="L300" t="s">
        <v>2391</v>
      </c>
      <c r="M300" t="s">
        <v>2392</v>
      </c>
      <c r="N300" t="s">
        <v>2393</v>
      </c>
    </row>
    <row r="301" spans="1:14">
      <c r="A301" t="s">
        <v>1724</v>
      </c>
      <c r="B301" t="s">
        <v>1684</v>
      </c>
      <c r="C301" t="s">
        <v>1725</v>
      </c>
      <c r="D301" t="s">
        <v>1726</v>
      </c>
      <c r="E301">
        <v>12988320278</v>
      </c>
      <c r="F301" s="4">
        <v>55</v>
      </c>
      <c r="G301" s="4" t="str">
        <f t="shared" si="4"/>
        <v>5512988320278</v>
      </c>
      <c r="H301" t="s">
        <v>2780</v>
      </c>
      <c r="I301" t="s">
        <v>14</v>
      </c>
      <c r="J301" t="s">
        <v>19</v>
      </c>
      <c r="K301" t="s">
        <v>16</v>
      </c>
      <c r="L301" t="s">
        <v>2394</v>
      </c>
      <c r="M301" t="s">
        <v>2395</v>
      </c>
      <c r="N301" t="s">
        <v>2396</v>
      </c>
    </row>
    <row r="302" spans="1:14">
      <c r="A302" t="s">
        <v>1727</v>
      </c>
      <c r="B302" t="s">
        <v>1684</v>
      </c>
      <c r="C302" t="s">
        <v>1728</v>
      </c>
      <c r="D302" t="s">
        <v>1729</v>
      </c>
      <c r="E302">
        <v>12997846651</v>
      </c>
      <c r="F302" s="4">
        <v>55</v>
      </c>
      <c r="G302" s="4" t="str">
        <f t="shared" si="4"/>
        <v>5512997846651</v>
      </c>
      <c r="H302" t="s">
        <v>2780</v>
      </c>
      <c r="I302" t="s">
        <v>14</v>
      </c>
      <c r="J302" t="s">
        <v>19</v>
      </c>
      <c r="K302" t="s">
        <v>16</v>
      </c>
      <c r="L302" t="s">
        <v>2397</v>
      </c>
      <c r="M302" t="s">
        <v>2398</v>
      </c>
      <c r="N302" t="s">
        <v>2399</v>
      </c>
    </row>
    <row r="303" spans="1:14">
      <c r="A303" t="s">
        <v>1730</v>
      </c>
      <c r="B303" t="s">
        <v>1684</v>
      </c>
      <c r="C303" t="s">
        <v>1731</v>
      </c>
      <c r="D303" t="s">
        <v>54</v>
      </c>
      <c r="E303">
        <v>11967062957</v>
      </c>
      <c r="F303" s="4">
        <v>55</v>
      </c>
      <c r="G303" s="4" t="str">
        <f t="shared" si="4"/>
        <v>5511967062957</v>
      </c>
      <c r="H303" t="s">
        <v>2789</v>
      </c>
      <c r="I303" t="s">
        <v>14</v>
      </c>
      <c r="J303" t="s">
        <v>15</v>
      </c>
      <c r="K303" t="s">
        <v>16</v>
      </c>
      <c r="L303" t="s">
        <v>2400</v>
      </c>
      <c r="M303" t="s">
        <v>2401</v>
      </c>
      <c r="N303" t="s">
        <v>2402</v>
      </c>
    </row>
    <row r="304" spans="1:14">
      <c r="A304" t="s">
        <v>1732</v>
      </c>
      <c r="B304" t="s">
        <v>1684</v>
      </c>
      <c r="C304" t="s">
        <v>1733</v>
      </c>
      <c r="D304" t="s">
        <v>1734</v>
      </c>
      <c r="F304" s="4">
        <v>55</v>
      </c>
      <c r="G304" s="4" t="str">
        <f t="shared" si="4"/>
        <v>55</v>
      </c>
      <c r="H304" t="s">
        <v>2780</v>
      </c>
      <c r="I304" t="s">
        <v>14</v>
      </c>
      <c r="J304" t="s">
        <v>15</v>
      </c>
      <c r="K304" t="s">
        <v>16</v>
      </c>
      <c r="L304" t="s">
        <v>2403</v>
      </c>
      <c r="M304" t="s">
        <v>2404</v>
      </c>
      <c r="N304" t="s">
        <v>2405</v>
      </c>
    </row>
    <row r="305" spans="1:14">
      <c r="A305" t="s">
        <v>1735</v>
      </c>
      <c r="B305" t="s">
        <v>1684</v>
      </c>
      <c r="C305" t="s">
        <v>392</v>
      </c>
      <c r="D305" t="s">
        <v>1736</v>
      </c>
      <c r="E305">
        <v>12920017813</v>
      </c>
      <c r="F305" s="4">
        <v>55</v>
      </c>
      <c r="G305" s="4" t="str">
        <f t="shared" si="4"/>
        <v>5512920017813</v>
      </c>
      <c r="H305" t="s">
        <v>2780</v>
      </c>
      <c r="I305" t="s">
        <v>14</v>
      </c>
      <c r="J305" t="s">
        <v>19</v>
      </c>
      <c r="K305" t="s">
        <v>16</v>
      </c>
      <c r="L305" t="s">
        <v>393</v>
      </c>
      <c r="M305" t="s">
        <v>2406</v>
      </c>
      <c r="N305" t="s">
        <v>2407</v>
      </c>
    </row>
    <row r="306" spans="1:14">
      <c r="A306" t="s">
        <v>1737</v>
      </c>
      <c r="B306" t="s">
        <v>1684</v>
      </c>
      <c r="C306" t="s">
        <v>1738</v>
      </c>
      <c r="D306" t="s">
        <v>1739</v>
      </c>
      <c r="F306" s="4">
        <v>55</v>
      </c>
      <c r="G306" s="4" t="str">
        <f t="shared" si="4"/>
        <v>55</v>
      </c>
      <c r="H306" t="s">
        <v>2785</v>
      </c>
      <c r="I306" t="s">
        <v>14</v>
      </c>
      <c r="J306" t="s">
        <v>15</v>
      </c>
      <c r="K306" t="s">
        <v>16</v>
      </c>
      <c r="L306" t="s">
        <v>2408</v>
      </c>
      <c r="M306" t="s">
        <v>2409</v>
      </c>
      <c r="N306" t="s">
        <v>2410</v>
      </c>
    </row>
    <row r="307" spans="1:14">
      <c r="A307" t="s">
        <v>1740</v>
      </c>
      <c r="B307" t="s">
        <v>1684</v>
      </c>
      <c r="C307" t="s">
        <v>1741</v>
      </c>
      <c r="D307" t="s">
        <v>51</v>
      </c>
      <c r="E307">
        <v>12981950323</v>
      </c>
      <c r="F307" s="4">
        <v>55</v>
      </c>
      <c r="G307" s="4" t="str">
        <f t="shared" si="4"/>
        <v>5512981950323</v>
      </c>
      <c r="H307" t="s">
        <v>2781</v>
      </c>
      <c r="I307" t="s">
        <v>14</v>
      </c>
      <c r="J307" t="s">
        <v>19</v>
      </c>
      <c r="K307" t="s">
        <v>16</v>
      </c>
      <c r="L307" t="s">
        <v>2411</v>
      </c>
      <c r="M307" t="s">
        <v>405</v>
      </c>
      <c r="N307" t="s">
        <v>405</v>
      </c>
    </row>
    <row r="308" spans="1:14">
      <c r="A308" t="s">
        <v>1742</v>
      </c>
      <c r="B308" t="s">
        <v>1684</v>
      </c>
      <c r="C308" t="s">
        <v>1743</v>
      </c>
      <c r="D308" t="s">
        <v>51</v>
      </c>
      <c r="E308">
        <v>12997333006</v>
      </c>
      <c r="F308" s="4">
        <v>55</v>
      </c>
      <c r="G308" s="4" t="str">
        <f t="shared" si="4"/>
        <v>5512997333006</v>
      </c>
      <c r="H308" t="s">
        <v>2781</v>
      </c>
      <c r="I308" t="s">
        <v>14</v>
      </c>
      <c r="J308" t="s">
        <v>19</v>
      </c>
      <c r="K308" t="s">
        <v>16</v>
      </c>
      <c r="L308" t="s">
        <v>2412</v>
      </c>
      <c r="M308" t="s">
        <v>405</v>
      </c>
      <c r="N308" t="s">
        <v>405</v>
      </c>
    </row>
    <row r="309" spans="1:14">
      <c r="A309" t="s">
        <v>1744</v>
      </c>
      <c r="B309" t="s">
        <v>1684</v>
      </c>
      <c r="C309" t="s">
        <v>1745</v>
      </c>
      <c r="D309" t="s">
        <v>1746</v>
      </c>
      <c r="E309">
        <v>31992959727</v>
      </c>
      <c r="F309" s="4">
        <v>55</v>
      </c>
      <c r="G309" s="4" t="str">
        <f t="shared" si="4"/>
        <v>5531992959727</v>
      </c>
      <c r="H309" t="s">
        <v>2789</v>
      </c>
      <c r="I309" t="s">
        <v>14</v>
      </c>
      <c r="J309" t="s">
        <v>17</v>
      </c>
      <c r="K309" t="s">
        <v>16</v>
      </c>
      <c r="L309" t="s">
        <v>2413</v>
      </c>
      <c r="M309" t="s">
        <v>2414</v>
      </c>
      <c r="N309" t="s">
        <v>2415</v>
      </c>
    </row>
    <row r="310" spans="1:14">
      <c r="A310" t="s">
        <v>1747</v>
      </c>
      <c r="B310" t="s">
        <v>1684</v>
      </c>
      <c r="C310" t="s">
        <v>1748</v>
      </c>
      <c r="D310" t="s">
        <v>1749</v>
      </c>
      <c r="E310">
        <v>12988028118</v>
      </c>
      <c r="F310" s="4">
        <v>55</v>
      </c>
      <c r="G310" s="4" t="str">
        <f t="shared" si="4"/>
        <v>5512988028118</v>
      </c>
      <c r="H310" t="s">
        <v>2780</v>
      </c>
      <c r="I310" t="s">
        <v>14</v>
      </c>
      <c r="J310" t="s">
        <v>19</v>
      </c>
      <c r="K310" t="s">
        <v>16</v>
      </c>
      <c r="L310" t="s">
        <v>2416</v>
      </c>
      <c r="M310" t="s">
        <v>2417</v>
      </c>
      <c r="N310" t="s">
        <v>2418</v>
      </c>
    </row>
    <row r="311" spans="1:14">
      <c r="A311" t="s">
        <v>1750</v>
      </c>
      <c r="B311" t="s">
        <v>1684</v>
      </c>
      <c r="C311" t="s">
        <v>1751</v>
      </c>
      <c r="D311" t="s">
        <v>1752</v>
      </c>
      <c r="E311">
        <v>12987055196</v>
      </c>
      <c r="F311" s="4">
        <v>55</v>
      </c>
      <c r="G311" s="4" t="str">
        <f t="shared" si="4"/>
        <v>5512987055196</v>
      </c>
      <c r="H311" t="s">
        <v>2778</v>
      </c>
      <c r="I311" t="s">
        <v>14</v>
      </c>
      <c r="J311" t="s">
        <v>19</v>
      </c>
      <c r="K311" t="s">
        <v>16</v>
      </c>
      <c r="L311" t="s">
        <v>2419</v>
      </c>
      <c r="M311" t="s">
        <v>2420</v>
      </c>
      <c r="N311" t="s">
        <v>2421</v>
      </c>
    </row>
    <row r="312" spans="1:14">
      <c r="A312" t="s">
        <v>1753</v>
      </c>
      <c r="B312" t="s">
        <v>1754</v>
      </c>
      <c r="C312" t="s">
        <v>1755</v>
      </c>
      <c r="D312" t="s">
        <v>1756</v>
      </c>
      <c r="E312">
        <v>11999353415</v>
      </c>
      <c r="F312" s="4">
        <v>55</v>
      </c>
      <c r="G312" s="4" t="str">
        <f t="shared" si="4"/>
        <v>5511999353415</v>
      </c>
      <c r="H312" t="s">
        <v>2787</v>
      </c>
      <c r="I312" t="s">
        <v>14</v>
      </c>
      <c r="J312" t="s">
        <v>18</v>
      </c>
      <c r="K312" t="s">
        <v>16</v>
      </c>
      <c r="L312" t="s">
        <v>2422</v>
      </c>
      <c r="M312" t="s">
        <v>2423</v>
      </c>
      <c r="N312" t="s">
        <v>2424</v>
      </c>
    </row>
    <row r="313" spans="1:14">
      <c r="A313" t="s">
        <v>1757</v>
      </c>
      <c r="B313" t="s">
        <v>1754</v>
      </c>
      <c r="C313" t="s">
        <v>1758</v>
      </c>
      <c r="D313" t="s">
        <v>1759</v>
      </c>
      <c r="E313">
        <v>31988436646</v>
      </c>
      <c r="F313" s="4">
        <v>55</v>
      </c>
      <c r="G313" s="4" t="str">
        <f t="shared" si="4"/>
        <v>5531988436646</v>
      </c>
      <c r="H313" t="s">
        <v>2786</v>
      </c>
      <c r="I313" t="s">
        <v>14</v>
      </c>
      <c r="J313" t="s">
        <v>101</v>
      </c>
      <c r="K313" t="s">
        <v>16</v>
      </c>
      <c r="L313" t="s">
        <v>2425</v>
      </c>
      <c r="M313" t="s">
        <v>405</v>
      </c>
      <c r="N313" t="s">
        <v>405</v>
      </c>
    </row>
    <row r="314" spans="1:14">
      <c r="A314" t="s">
        <v>1760</v>
      </c>
      <c r="B314" t="s">
        <v>1754</v>
      </c>
      <c r="C314" t="s">
        <v>1761</v>
      </c>
      <c r="D314" t="s">
        <v>1762</v>
      </c>
      <c r="E314">
        <v>31993102251</v>
      </c>
      <c r="F314" s="4">
        <v>55</v>
      </c>
      <c r="G314" s="4" t="str">
        <f t="shared" si="4"/>
        <v>5531993102251</v>
      </c>
      <c r="H314" t="s">
        <v>2787</v>
      </c>
      <c r="I314" t="s">
        <v>14</v>
      </c>
      <c r="J314" t="s">
        <v>17</v>
      </c>
      <c r="K314" t="s">
        <v>16</v>
      </c>
      <c r="L314" t="s">
        <v>2426</v>
      </c>
      <c r="M314" t="s">
        <v>2427</v>
      </c>
      <c r="N314" t="s">
        <v>2428</v>
      </c>
    </row>
    <row r="315" spans="1:14">
      <c r="A315" t="s">
        <v>1763</v>
      </c>
      <c r="B315" t="s">
        <v>1754</v>
      </c>
      <c r="C315" t="s">
        <v>1764</v>
      </c>
      <c r="D315" t="s">
        <v>1765</v>
      </c>
      <c r="E315">
        <v>11995759293</v>
      </c>
      <c r="F315" s="4">
        <v>55</v>
      </c>
      <c r="G315" s="4" t="str">
        <f t="shared" si="4"/>
        <v>5511995759293</v>
      </c>
      <c r="H315" t="s">
        <v>2782</v>
      </c>
      <c r="I315" t="s">
        <v>14</v>
      </c>
      <c r="J315" t="s">
        <v>398</v>
      </c>
      <c r="K315" t="s">
        <v>16</v>
      </c>
      <c r="L315" t="s">
        <v>2429</v>
      </c>
      <c r="M315" t="s">
        <v>405</v>
      </c>
      <c r="N315" t="s">
        <v>405</v>
      </c>
    </row>
    <row r="316" spans="1:14">
      <c r="A316" t="s">
        <v>1766</v>
      </c>
      <c r="B316" t="s">
        <v>1754</v>
      </c>
      <c r="C316" t="s">
        <v>1767</v>
      </c>
      <c r="D316" t="s">
        <v>1768</v>
      </c>
      <c r="E316">
        <v>31996466682</v>
      </c>
      <c r="F316" s="4">
        <v>55</v>
      </c>
      <c r="G316" s="4" t="str">
        <f t="shared" si="4"/>
        <v>5531996466682</v>
      </c>
      <c r="H316" t="s">
        <v>2789</v>
      </c>
      <c r="I316" t="s">
        <v>14</v>
      </c>
      <c r="J316" t="s">
        <v>17</v>
      </c>
      <c r="K316" t="s">
        <v>16</v>
      </c>
      <c r="L316" t="s">
        <v>2430</v>
      </c>
      <c r="M316" t="s">
        <v>2431</v>
      </c>
      <c r="N316" t="s">
        <v>2432</v>
      </c>
    </row>
    <row r="317" spans="1:14">
      <c r="A317" t="s">
        <v>1769</v>
      </c>
      <c r="B317" t="s">
        <v>1754</v>
      </c>
      <c r="C317" t="s">
        <v>1770</v>
      </c>
      <c r="D317" t="s">
        <v>1771</v>
      </c>
      <c r="E317">
        <v>11984900877</v>
      </c>
      <c r="F317" s="4">
        <v>55</v>
      </c>
      <c r="G317" s="4" t="str">
        <f t="shared" si="4"/>
        <v>5511984900877</v>
      </c>
      <c r="H317" t="s">
        <v>2781</v>
      </c>
      <c r="I317" t="s">
        <v>14</v>
      </c>
      <c r="J317" t="s">
        <v>18</v>
      </c>
      <c r="K317" t="s">
        <v>16</v>
      </c>
      <c r="L317" t="s">
        <v>2433</v>
      </c>
      <c r="M317" t="s">
        <v>405</v>
      </c>
      <c r="N317" t="s">
        <v>405</v>
      </c>
    </row>
    <row r="318" spans="1:14">
      <c r="A318" t="s">
        <v>1772</v>
      </c>
      <c r="B318" t="s">
        <v>1754</v>
      </c>
      <c r="C318" t="s">
        <v>1773</v>
      </c>
      <c r="D318" t="s">
        <v>1774</v>
      </c>
      <c r="E318">
        <v>11994456734</v>
      </c>
      <c r="F318" s="4">
        <v>55</v>
      </c>
      <c r="G318" s="4" t="str">
        <f t="shared" si="4"/>
        <v>5511994456734</v>
      </c>
      <c r="H318" t="s">
        <v>2780</v>
      </c>
      <c r="I318" t="s">
        <v>14</v>
      </c>
      <c r="J318" t="s">
        <v>18</v>
      </c>
      <c r="K318" t="s">
        <v>16</v>
      </c>
      <c r="L318" t="s">
        <v>2434</v>
      </c>
      <c r="M318" t="s">
        <v>2435</v>
      </c>
      <c r="N318" t="s">
        <v>2436</v>
      </c>
    </row>
    <row r="319" spans="1:14">
      <c r="A319" t="s">
        <v>1775</v>
      </c>
      <c r="B319" t="s">
        <v>1754</v>
      </c>
      <c r="C319" t="s">
        <v>1776</v>
      </c>
      <c r="D319" t="s">
        <v>1777</v>
      </c>
      <c r="E319">
        <v>12974038487</v>
      </c>
      <c r="F319" s="4">
        <v>55</v>
      </c>
      <c r="G319" s="4" t="str">
        <f t="shared" si="4"/>
        <v>5512974038487</v>
      </c>
      <c r="H319" t="s">
        <v>2789</v>
      </c>
      <c r="I319" t="s">
        <v>14</v>
      </c>
      <c r="J319" t="s">
        <v>19</v>
      </c>
      <c r="K319" t="s">
        <v>16</v>
      </c>
      <c r="L319" t="s">
        <v>2437</v>
      </c>
      <c r="M319" t="s">
        <v>2438</v>
      </c>
      <c r="N319" t="s">
        <v>2439</v>
      </c>
    </row>
    <row r="320" spans="1:14">
      <c r="A320" t="s">
        <v>1778</v>
      </c>
      <c r="B320" t="s">
        <v>1754</v>
      </c>
      <c r="C320" t="s">
        <v>1779</v>
      </c>
      <c r="D320" t="s">
        <v>1780</v>
      </c>
      <c r="E320">
        <v>11973844385</v>
      </c>
      <c r="F320" s="4">
        <v>55</v>
      </c>
      <c r="G320" s="4" t="str">
        <f t="shared" si="4"/>
        <v>5511973844385</v>
      </c>
      <c r="H320" t="s">
        <v>2780</v>
      </c>
      <c r="I320" t="s">
        <v>14</v>
      </c>
      <c r="J320" t="s">
        <v>15</v>
      </c>
      <c r="K320" t="s">
        <v>16</v>
      </c>
      <c r="L320" t="s">
        <v>2440</v>
      </c>
      <c r="M320" t="s">
        <v>2441</v>
      </c>
      <c r="N320" t="s">
        <v>2442</v>
      </c>
    </row>
    <row r="321" spans="1:14">
      <c r="A321" t="s">
        <v>1781</v>
      </c>
      <c r="B321" t="s">
        <v>1754</v>
      </c>
      <c r="C321" t="s">
        <v>1782</v>
      </c>
      <c r="D321" t="s">
        <v>30</v>
      </c>
      <c r="E321">
        <v>11960480705</v>
      </c>
      <c r="F321" s="4">
        <v>55</v>
      </c>
      <c r="G321" s="4" t="str">
        <f t="shared" si="4"/>
        <v>5511960480705</v>
      </c>
      <c r="H321" t="s">
        <v>2789</v>
      </c>
      <c r="I321" t="s">
        <v>14</v>
      </c>
      <c r="J321" t="s">
        <v>19</v>
      </c>
      <c r="K321" t="s">
        <v>16</v>
      </c>
      <c r="L321" t="s">
        <v>2443</v>
      </c>
      <c r="M321" t="s">
        <v>2444</v>
      </c>
      <c r="N321" t="s">
        <v>2445</v>
      </c>
    </row>
    <row r="322" spans="1:14">
      <c r="A322" t="s">
        <v>1783</v>
      </c>
      <c r="B322" t="s">
        <v>1754</v>
      </c>
      <c r="C322" t="s">
        <v>1784</v>
      </c>
      <c r="D322" t="s">
        <v>1785</v>
      </c>
      <c r="E322">
        <v>31999294623</v>
      </c>
      <c r="F322" s="4">
        <v>55</v>
      </c>
      <c r="G322" s="4" t="str">
        <f t="shared" si="4"/>
        <v>5531999294623</v>
      </c>
      <c r="H322" t="s">
        <v>2780</v>
      </c>
      <c r="I322" t="s">
        <v>14</v>
      </c>
      <c r="J322" t="s">
        <v>17</v>
      </c>
      <c r="K322" t="s">
        <v>16</v>
      </c>
      <c r="L322" t="s">
        <v>2446</v>
      </c>
      <c r="M322" t="s">
        <v>2447</v>
      </c>
      <c r="N322" t="s">
        <v>2448</v>
      </c>
    </row>
    <row r="323" spans="1:14">
      <c r="A323" t="s">
        <v>1786</v>
      </c>
      <c r="B323" t="s">
        <v>1754</v>
      </c>
      <c r="C323" t="s">
        <v>1787</v>
      </c>
      <c r="D323" t="s">
        <v>26</v>
      </c>
      <c r="E323">
        <v>12997167000</v>
      </c>
      <c r="F323" s="4">
        <v>55</v>
      </c>
      <c r="G323" s="4" t="str">
        <f t="shared" ref="G323:G386" si="5">CONCATENATE(F323,E323)</f>
        <v>5512997167000</v>
      </c>
      <c r="H323" t="s">
        <v>2789</v>
      </c>
      <c r="I323" t="s">
        <v>14</v>
      </c>
      <c r="J323" t="s">
        <v>19</v>
      </c>
      <c r="K323" t="s">
        <v>16</v>
      </c>
      <c r="L323" t="s">
        <v>2449</v>
      </c>
      <c r="M323" t="s">
        <v>2450</v>
      </c>
      <c r="N323" t="s">
        <v>2451</v>
      </c>
    </row>
    <row r="324" spans="1:14">
      <c r="A324" t="s">
        <v>1788</v>
      </c>
      <c r="B324" t="s">
        <v>1754</v>
      </c>
      <c r="C324" t="s">
        <v>1789</v>
      </c>
      <c r="D324" t="s">
        <v>1790</v>
      </c>
      <c r="E324">
        <v>11965993832</v>
      </c>
      <c r="F324" s="4">
        <v>55</v>
      </c>
      <c r="G324" s="4" t="str">
        <f t="shared" si="5"/>
        <v>5511965993832</v>
      </c>
      <c r="H324" t="s">
        <v>2780</v>
      </c>
      <c r="I324" t="s">
        <v>14</v>
      </c>
      <c r="J324" t="s">
        <v>15</v>
      </c>
      <c r="K324" t="s">
        <v>16</v>
      </c>
      <c r="L324" t="s">
        <v>2452</v>
      </c>
      <c r="M324" t="s">
        <v>2453</v>
      </c>
      <c r="N324" t="s">
        <v>1789</v>
      </c>
    </row>
    <row r="325" spans="1:14">
      <c r="A325" t="s">
        <v>1791</v>
      </c>
      <c r="B325" t="s">
        <v>1754</v>
      </c>
      <c r="C325" t="s">
        <v>1792</v>
      </c>
      <c r="D325" t="s">
        <v>1793</v>
      </c>
      <c r="E325">
        <v>12997941712</v>
      </c>
      <c r="F325" s="4">
        <v>55</v>
      </c>
      <c r="G325" s="4" t="str">
        <f t="shared" si="5"/>
        <v>5512997941712</v>
      </c>
      <c r="H325" t="s">
        <v>2781</v>
      </c>
      <c r="I325" t="s">
        <v>14</v>
      </c>
      <c r="J325" t="s">
        <v>19</v>
      </c>
      <c r="K325" t="s">
        <v>16</v>
      </c>
      <c r="L325" t="s">
        <v>2454</v>
      </c>
      <c r="M325" t="s">
        <v>405</v>
      </c>
      <c r="N325" t="s">
        <v>405</v>
      </c>
    </row>
    <row r="326" spans="1:14">
      <c r="A326" t="s">
        <v>1794</v>
      </c>
      <c r="B326" t="s">
        <v>1754</v>
      </c>
      <c r="C326" t="s">
        <v>1795</v>
      </c>
      <c r="D326" t="s">
        <v>1796</v>
      </c>
      <c r="E326">
        <v>11968419959</v>
      </c>
      <c r="F326" s="4">
        <v>55</v>
      </c>
      <c r="G326" s="4" t="str">
        <f t="shared" si="5"/>
        <v>5511968419959</v>
      </c>
      <c r="H326" t="s">
        <v>2780</v>
      </c>
      <c r="I326" t="s">
        <v>14</v>
      </c>
      <c r="J326" t="s">
        <v>15</v>
      </c>
      <c r="K326" t="s">
        <v>16</v>
      </c>
      <c r="L326" t="s">
        <v>2455</v>
      </c>
      <c r="M326" t="s">
        <v>2456</v>
      </c>
      <c r="N326" t="s">
        <v>2457</v>
      </c>
    </row>
    <row r="327" spans="1:14">
      <c r="A327" t="s">
        <v>1797</v>
      </c>
      <c r="B327" t="s">
        <v>1754</v>
      </c>
      <c r="C327" t="s">
        <v>1798</v>
      </c>
      <c r="D327" t="s">
        <v>396</v>
      </c>
      <c r="E327">
        <v>12997493489</v>
      </c>
      <c r="F327" s="4">
        <v>55</v>
      </c>
      <c r="G327" s="4" t="str">
        <f t="shared" si="5"/>
        <v>5512997493489</v>
      </c>
      <c r="H327" t="s">
        <v>2789</v>
      </c>
      <c r="I327" t="s">
        <v>14</v>
      </c>
      <c r="J327" t="s">
        <v>19</v>
      </c>
      <c r="K327" t="s">
        <v>16</v>
      </c>
      <c r="L327" t="s">
        <v>2458</v>
      </c>
      <c r="M327" t="s">
        <v>2459</v>
      </c>
      <c r="N327" t="s">
        <v>2460</v>
      </c>
    </row>
    <row r="328" spans="1:14">
      <c r="A328" t="s">
        <v>1799</v>
      </c>
      <c r="B328" t="s">
        <v>1754</v>
      </c>
      <c r="C328" t="s">
        <v>1800</v>
      </c>
      <c r="D328" t="s">
        <v>1801</v>
      </c>
      <c r="E328">
        <v>12981588133</v>
      </c>
      <c r="F328" s="4">
        <v>55</v>
      </c>
      <c r="G328" s="4" t="str">
        <f t="shared" si="5"/>
        <v>5512981588133</v>
      </c>
      <c r="H328" t="s">
        <v>2789</v>
      </c>
      <c r="I328" t="s">
        <v>14</v>
      </c>
      <c r="J328" t="s">
        <v>19</v>
      </c>
      <c r="K328" t="s">
        <v>16</v>
      </c>
      <c r="L328" t="s">
        <v>2461</v>
      </c>
      <c r="M328" t="s">
        <v>2462</v>
      </c>
      <c r="N328" t="s">
        <v>2463</v>
      </c>
    </row>
    <row r="329" spans="1:14">
      <c r="A329" t="s">
        <v>1802</v>
      </c>
      <c r="B329" t="s">
        <v>1803</v>
      </c>
      <c r="C329" t="s">
        <v>1804</v>
      </c>
      <c r="D329" t="s">
        <v>1805</v>
      </c>
      <c r="E329">
        <v>11982226071</v>
      </c>
      <c r="F329" s="4">
        <v>55</v>
      </c>
      <c r="G329" s="4" t="str">
        <f t="shared" si="5"/>
        <v>5511982226071</v>
      </c>
      <c r="H329" t="s">
        <v>2787</v>
      </c>
      <c r="I329" t="s">
        <v>14</v>
      </c>
      <c r="J329" t="s">
        <v>20</v>
      </c>
      <c r="K329" t="s">
        <v>16</v>
      </c>
      <c r="L329" t="s">
        <v>2464</v>
      </c>
      <c r="M329" t="s">
        <v>2465</v>
      </c>
      <c r="N329" t="s">
        <v>2466</v>
      </c>
    </row>
    <row r="330" spans="1:14">
      <c r="A330" t="s">
        <v>1806</v>
      </c>
      <c r="B330" t="s">
        <v>1803</v>
      </c>
      <c r="C330" t="s">
        <v>1807</v>
      </c>
      <c r="D330" t="s">
        <v>1808</v>
      </c>
      <c r="E330">
        <v>8599794418</v>
      </c>
      <c r="F330" s="4">
        <v>55</v>
      </c>
      <c r="G330" s="4" t="str">
        <f t="shared" si="5"/>
        <v>558599794418</v>
      </c>
      <c r="H330" t="s">
        <v>2786</v>
      </c>
      <c r="I330" t="s">
        <v>14</v>
      </c>
      <c r="J330" t="s">
        <v>398</v>
      </c>
      <c r="K330" t="s">
        <v>16</v>
      </c>
      <c r="L330" t="s">
        <v>2467</v>
      </c>
      <c r="M330" t="s">
        <v>405</v>
      </c>
      <c r="N330" t="s">
        <v>405</v>
      </c>
    </row>
    <row r="331" spans="1:14">
      <c r="A331" t="s">
        <v>1809</v>
      </c>
      <c r="B331" t="s">
        <v>1803</v>
      </c>
      <c r="C331" t="s">
        <v>1810</v>
      </c>
      <c r="D331" t="s">
        <v>1811</v>
      </c>
      <c r="E331">
        <v>31988844026</v>
      </c>
      <c r="F331" s="4">
        <v>55</v>
      </c>
      <c r="G331" s="4" t="str">
        <f t="shared" si="5"/>
        <v>5531988844026</v>
      </c>
      <c r="H331" t="s">
        <v>2786</v>
      </c>
      <c r="I331" t="s">
        <v>14</v>
      </c>
      <c r="J331" t="s">
        <v>17</v>
      </c>
      <c r="K331" t="s">
        <v>16</v>
      </c>
      <c r="L331" t="s">
        <v>2468</v>
      </c>
      <c r="M331" t="s">
        <v>405</v>
      </c>
      <c r="N331" t="s">
        <v>405</v>
      </c>
    </row>
    <row r="332" spans="1:14">
      <c r="A332" t="s">
        <v>1812</v>
      </c>
      <c r="B332" t="s">
        <v>1803</v>
      </c>
      <c r="C332" t="s">
        <v>1813</v>
      </c>
      <c r="D332" t="s">
        <v>1814</v>
      </c>
      <c r="E332">
        <v>12997140979</v>
      </c>
      <c r="F332" s="4">
        <v>55</v>
      </c>
      <c r="G332" s="4" t="str">
        <f t="shared" si="5"/>
        <v>5512997140979</v>
      </c>
      <c r="H332" t="s">
        <v>2789</v>
      </c>
      <c r="I332" t="s">
        <v>14</v>
      </c>
      <c r="J332" t="s">
        <v>19</v>
      </c>
      <c r="K332" t="s">
        <v>16</v>
      </c>
      <c r="L332" t="s">
        <v>2469</v>
      </c>
      <c r="M332" t="s">
        <v>2470</v>
      </c>
      <c r="N332" t="s">
        <v>2471</v>
      </c>
    </row>
    <row r="333" spans="1:14">
      <c r="A333" t="s">
        <v>1815</v>
      </c>
      <c r="B333" t="s">
        <v>1803</v>
      </c>
      <c r="C333" t="s">
        <v>1816</v>
      </c>
      <c r="D333" t="s">
        <v>1817</v>
      </c>
      <c r="F333" s="4">
        <v>55</v>
      </c>
      <c r="G333" s="4" t="str">
        <f t="shared" si="5"/>
        <v>55</v>
      </c>
      <c r="H333" t="s">
        <v>2780</v>
      </c>
      <c r="I333" t="s">
        <v>14</v>
      </c>
      <c r="J333" t="s">
        <v>15</v>
      </c>
      <c r="K333" t="s">
        <v>16</v>
      </c>
      <c r="L333" t="s">
        <v>2472</v>
      </c>
      <c r="M333" t="s">
        <v>2473</v>
      </c>
      <c r="N333" t="s">
        <v>2474</v>
      </c>
    </row>
    <row r="334" spans="1:14">
      <c r="A334" t="s">
        <v>1818</v>
      </c>
      <c r="B334" t="s">
        <v>1803</v>
      </c>
      <c r="C334" t="s">
        <v>1819</v>
      </c>
      <c r="D334" t="s">
        <v>1820</v>
      </c>
      <c r="E334">
        <v>31997574555</v>
      </c>
      <c r="F334" s="4">
        <v>55</v>
      </c>
      <c r="G334" s="4" t="str">
        <f t="shared" si="5"/>
        <v>5531997574555</v>
      </c>
      <c r="H334" t="s">
        <v>2789</v>
      </c>
      <c r="I334" t="s">
        <v>14</v>
      </c>
      <c r="J334" t="s">
        <v>17</v>
      </c>
      <c r="K334" t="s">
        <v>16</v>
      </c>
      <c r="L334" t="s">
        <v>2475</v>
      </c>
      <c r="M334" t="s">
        <v>2476</v>
      </c>
      <c r="N334" t="s">
        <v>2477</v>
      </c>
    </row>
    <row r="335" spans="1:14">
      <c r="A335" t="s">
        <v>1821</v>
      </c>
      <c r="B335" t="s">
        <v>1803</v>
      </c>
      <c r="C335" t="s">
        <v>1822</v>
      </c>
      <c r="D335" t="s">
        <v>1823</v>
      </c>
      <c r="E335">
        <v>31998624686</v>
      </c>
      <c r="F335" s="4">
        <v>55</v>
      </c>
      <c r="G335" s="4" t="str">
        <f t="shared" si="5"/>
        <v>5531998624686</v>
      </c>
      <c r="H335" t="s">
        <v>2781</v>
      </c>
      <c r="I335" t="s">
        <v>14</v>
      </c>
      <c r="J335" t="s">
        <v>17</v>
      </c>
      <c r="K335" t="s">
        <v>16</v>
      </c>
      <c r="L335" t="s">
        <v>2478</v>
      </c>
      <c r="M335" t="s">
        <v>405</v>
      </c>
      <c r="N335" t="s">
        <v>405</v>
      </c>
    </row>
    <row r="336" spans="1:14">
      <c r="A336" t="s">
        <v>1824</v>
      </c>
      <c r="B336" t="s">
        <v>1803</v>
      </c>
      <c r="C336" t="s">
        <v>1825</v>
      </c>
      <c r="D336" t="s">
        <v>1826</v>
      </c>
      <c r="E336">
        <v>31983995256</v>
      </c>
      <c r="F336" s="4">
        <v>55</v>
      </c>
      <c r="G336" s="4" t="str">
        <f t="shared" si="5"/>
        <v>5531983995256</v>
      </c>
      <c r="H336" t="s">
        <v>2780</v>
      </c>
      <c r="I336" t="s">
        <v>14</v>
      </c>
      <c r="J336" t="s">
        <v>17</v>
      </c>
      <c r="K336" t="s">
        <v>16</v>
      </c>
      <c r="L336" t="s">
        <v>2479</v>
      </c>
      <c r="M336" t="s">
        <v>2480</v>
      </c>
      <c r="N336" t="s">
        <v>2481</v>
      </c>
    </row>
    <row r="337" spans="1:14">
      <c r="A337" t="s">
        <v>1827</v>
      </c>
      <c r="B337" t="s">
        <v>1803</v>
      </c>
      <c r="C337" t="s">
        <v>362</v>
      </c>
      <c r="D337" t="s">
        <v>1828</v>
      </c>
      <c r="E337">
        <v>12988891002</v>
      </c>
      <c r="F337" s="4">
        <v>55</v>
      </c>
      <c r="G337" s="4" t="str">
        <f t="shared" si="5"/>
        <v>5512988891002</v>
      </c>
      <c r="H337" t="s">
        <v>2780</v>
      </c>
      <c r="I337" t="s">
        <v>14</v>
      </c>
      <c r="J337" t="s">
        <v>19</v>
      </c>
      <c r="K337" t="s">
        <v>16</v>
      </c>
      <c r="L337" t="s">
        <v>363</v>
      </c>
      <c r="M337" t="s">
        <v>2482</v>
      </c>
      <c r="N337" t="s">
        <v>2483</v>
      </c>
    </row>
    <row r="338" spans="1:14">
      <c r="A338" t="s">
        <v>1829</v>
      </c>
      <c r="B338" t="s">
        <v>1803</v>
      </c>
      <c r="C338" t="s">
        <v>1830</v>
      </c>
      <c r="D338" t="s">
        <v>1831</v>
      </c>
      <c r="E338">
        <v>12974034326</v>
      </c>
      <c r="F338" s="4">
        <v>55</v>
      </c>
      <c r="G338" s="4" t="str">
        <f t="shared" si="5"/>
        <v>5512974034326</v>
      </c>
      <c r="H338" t="s">
        <v>2789</v>
      </c>
      <c r="I338" t="s">
        <v>14</v>
      </c>
      <c r="J338" t="s">
        <v>19</v>
      </c>
      <c r="K338" t="s">
        <v>16</v>
      </c>
      <c r="L338" t="s">
        <v>2484</v>
      </c>
      <c r="M338" t="s">
        <v>2485</v>
      </c>
      <c r="N338" t="s">
        <v>2486</v>
      </c>
    </row>
    <row r="339" spans="1:14">
      <c r="A339" t="s">
        <v>1832</v>
      </c>
      <c r="B339" t="s">
        <v>1803</v>
      </c>
      <c r="C339" t="s">
        <v>1830</v>
      </c>
      <c r="D339" t="s">
        <v>1831</v>
      </c>
      <c r="E339">
        <v>12974034326</v>
      </c>
      <c r="F339" s="4">
        <v>55</v>
      </c>
      <c r="G339" s="4" t="str">
        <f t="shared" si="5"/>
        <v>5512974034326</v>
      </c>
      <c r="H339" t="s">
        <v>2781</v>
      </c>
      <c r="I339" t="s">
        <v>14</v>
      </c>
      <c r="J339" t="s">
        <v>19</v>
      </c>
      <c r="K339" t="s">
        <v>16</v>
      </c>
      <c r="L339" t="s">
        <v>2484</v>
      </c>
      <c r="M339" t="s">
        <v>405</v>
      </c>
      <c r="N339" t="s">
        <v>405</v>
      </c>
    </row>
    <row r="340" spans="1:14">
      <c r="A340" t="s">
        <v>1833</v>
      </c>
      <c r="B340" t="s">
        <v>1803</v>
      </c>
      <c r="C340" t="s">
        <v>1834</v>
      </c>
      <c r="D340" t="s">
        <v>42</v>
      </c>
      <c r="E340">
        <v>11972452377</v>
      </c>
      <c r="F340" s="4">
        <v>55</v>
      </c>
      <c r="G340" s="4" t="str">
        <f t="shared" si="5"/>
        <v>5511972452377</v>
      </c>
      <c r="H340" t="s">
        <v>2789</v>
      </c>
      <c r="I340" t="s">
        <v>14</v>
      </c>
      <c r="J340" t="s">
        <v>19</v>
      </c>
      <c r="K340" t="s">
        <v>16</v>
      </c>
      <c r="L340" t="s">
        <v>2487</v>
      </c>
      <c r="M340" t="s">
        <v>2488</v>
      </c>
      <c r="N340" t="s">
        <v>1834</v>
      </c>
    </row>
    <row r="341" spans="1:14">
      <c r="A341" t="s">
        <v>1835</v>
      </c>
      <c r="B341" t="s">
        <v>1803</v>
      </c>
      <c r="C341" t="s">
        <v>1836</v>
      </c>
      <c r="D341" t="s">
        <v>42</v>
      </c>
      <c r="E341">
        <v>11958838500</v>
      </c>
      <c r="F341" s="4">
        <v>55</v>
      </c>
      <c r="G341" s="4" t="str">
        <f t="shared" si="5"/>
        <v>5511958838500</v>
      </c>
      <c r="H341" t="s">
        <v>2789</v>
      </c>
      <c r="I341" t="s">
        <v>14</v>
      </c>
      <c r="J341" t="s">
        <v>19</v>
      </c>
      <c r="K341" t="s">
        <v>16</v>
      </c>
      <c r="L341" t="s">
        <v>2489</v>
      </c>
      <c r="M341" t="s">
        <v>2490</v>
      </c>
      <c r="N341" t="s">
        <v>2491</v>
      </c>
    </row>
    <row r="342" spans="1:14">
      <c r="A342" t="s">
        <v>1837</v>
      </c>
      <c r="B342" t="s">
        <v>1803</v>
      </c>
      <c r="C342" t="s">
        <v>1838</v>
      </c>
      <c r="D342" t="s">
        <v>30</v>
      </c>
      <c r="F342" s="4">
        <v>55</v>
      </c>
      <c r="G342" s="4" t="str">
        <f t="shared" si="5"/>
        <v>55</v>
      </c>
      <c r="H342" t="s">
        <v>2789</v>
      </c>
      <c r="I342" t="s">
        <v>14</v>
      </c>
      <c r="J342" t="s">
        <v>19</v>
      </c>
      <c r="K342" t="s">
        <v>16</v>
      </c>
      <c r="L342" t="s">
        <v>2492</v>
      </c>
      <c r="M342" t="s">
        <v>2493</v>
      </c>
      <c r="N342" t="s">
        <v>2494</v>
      </c>
    </row>
    <row r="343" spans="1:14">
      <c r="A343" t="s">
        <v>1839</v>
      </c>
      <c r="B343" t="s">
        <v>1803</v>
      </c>
      <c r="C343" t="s">
        <v>1840</v>
      </c>
      <c r="D343" t="s">
        <v>1841</v>
      </c>
      <c r="E343">
        <v>31991945651</v>
      </c>
      <c r="F343" s="4">
        <v>55</v>
      </c>
      <c r="G343" s="4" t="str">
        <f t="shared" si="5"/>
        <v>5531991945651</v>
      </c>
      <c r="H343" t="s">
        <v>2780</v>
      </c>
      <c r="I343" t="s">
        <v>14</v>
      </c>
      <c r="J343" t="s">
        <v>17</v>
      </c>
      <c r="K343" t="s">
        <v>16</v>
      </c>
      <c r="L343" t="s">
        <v>2495</v>
      </c>
      <c r="M343" t="s">
        <v>2496</v>
      </c>
      <c r="N343" t="s">
        <v>2497</v>
      </c>
    </row>
    <row r="344" spans="1:14">
      <c r="A344" t="s">
        <v>1842</v>
      </c>
      <c r="B344" t="s">
        <v>1803</v>
      </c>
      <c r="C344" t="s">
        <v>1843</v>
      </c>
      <c r="D344" t="s">
        <v>340</v>
      </c>
      <c r="E344">
        <v>12988590365</v>
      </c>
      <c r="F344" s="4">
        <v>55</v>
      </c>
      <c r="G344" s="4" t="str">
        <f t="shared" si="5"/>
        <v>5512988590365</v>
      </c>
      <c r="H344" t="s">
        <v>2789</v>
      </c>
      <c r="I344" t="s">
        <v>14</v>
      </c>
      <c r="J344" t="s">
        <v>129</v>
      </c>
      <c r="K344" t="s">
        <v>16</v>
      </c>
      <c r="L344" t="s">
        <v>2498</v>
      </c>
      <c r="M344" t="s">
        <v>2499</v>
      </c>
      <c r="N344" t="s">
        <v>2500</v>
      </c>
    </row>
    <row r="345" spans="1:14">
      <c r="A345" t="s">
        <v>1844</v>
      </c>
      <c r="B345" t="s">
        <v>1803</v>
      </c>
      <c r="C345" t="s">
        <v>1845</v>
      </c>
      <c r="D345" t="s">
        <v>1846</v>
      </c>
      <c r="F345" s="4">
        <v>55</v>
      </c>
      <c r="G345" s="4" t="str">
        <f t="shared" si="5"/>
        <v>55</v>
      </c>
      <c r="H345" t="s">
        <v>2780</v>
      </c>
      <c r="I345" t="s">
        <v>14</v>
      </c>
      <c r="J345" t="s">
        <v>15</v>
      </c>
      <c r="K345" t="s">
        <v>16</v>
      </c>
      <c r="L345" t="s">
        <v>2501</v>
      </c>
      <c r="M345" t="s">
        <v>2502</v>
      </c>
      <c r="N345" t="s">
        <v>2503</v>
      </c>
    </row>
    <row r="346" spans="1:14">
      <c r="A346" t="s">
        <v>1847</v>
      </c>
      <c r="B346" t="s">
        <v>1848</v>
      </c>
      <c r="C346" t="s">
        <v>1849</v>
      </c>
      <c r="D346" t="s">
        <v>1850</v>
      </c>
      <c r="E346">
        <v>11970518367</v>
      </c>
      <c r="F346" s="4">
        <v>55</v>
      </c>
      <c r="G346" s="4" t="str">
        <f t="shared" si="5"/>
        <v>5511970518367</v>
      </c>
      <c r="H346" t="s">
        <v>2787</v>
      </c>
      <c r="I346" t="s">
        <v>14</v>
      </c>
      <c r="J346" t="s">
        <v>1229</v>
      </c>
      <c r="K346" t="s">
        <v>16</v>
      </c>
      <c r="L346" t="s">
        <v>2504</v>
      </c>
      <c r="M346" t="s">
        <v>2505</v>
      </c>
      <c r="N346" t="s">
        <v>2506</v>
      </c>
    </row>
    <row r="347" spans="1:14">
      <c r="A347" t="s">
        <v>1851</v>
      </c>
      <c r="B347" t="s">
        <v>1848</v>
      </c>
      <c r="C347" t="s">
        <v>1852</v>
      </c>
      <c r="D347" t="s">
        <v>1853</v>
      </c>
      <c r="E347">
        <v>11999618632</v>
      </c>
      <c r="F347" s="4">
        <v>55</v>
      </c>
      <c r="G347" s="4" t="str">
        <f t="shared" si="5"/>
        <v>5511999618632</v>
      </c>
      <c r="H347" t="s">
        <v>2787</v>
      </c>
      <c r="I347" t="s">
        <v>14</v>
      </c>
      <c r="J347" t="s">
        <v>18</v>
      </c>
      <c r="K347" t="s">
        <v>16</v>
      </c>
      <c r="L347" t="s">
        <v>2507</v>
      </c>
      <c r="M347" t="s">
        <v>2508</v>
      </c>
      <c r="N347" t="s">
        <v>2509</v>
      </c>
    </row>
    <row r="348" spans="1:14">
      <c r="A348" t="s">
        <v>1854</v>
      </c>
      <c r="B348" t="s">
        <v>1848</v>
      </c>
      <c r="C348" t="s">
        <v>1855</v>
      </c>
      <c r="D348" t="s">
        <v>1856</v>
      </c>
      <c r="F348" s="4">
        <v>55</v>
      </c>
      <c r="G348" s="4" t="str">
        <f t="shared" si="5"/>
        <v>55</v>
      </c>
      <c r="H348" t="s">
        <v>2786</v>
      </c>
      <c r="I348" t="s">
        <v>14</v>
      </c>
      <c r="J348" t="s">
        <v>15</v>
      </c>
      <c r="K348" t="s">
        <v>16</v>
      </c>
      <c r="L348" t="s">
        <v>2510</v>
      </c>
      <c r="M348" t="s">
        <v>405</v>
      </c>
      <c r="N348" t="s">
        <v>405</v>
      </c>
    </row>
    <row r="349" spans="1:14">
      <c r="A349" t="s">
        <v>1857</v>
      </c>
      <c r="B349" t="s">
        <v>1848</v>
      </c>
      <c r="C349" t="s">
        <v>1858</v>
      </c>
      <c r="D349" t="s">
        <v>1856</v>
      </c>
      <c r="F349" s="4">
        <v>55</v>
      </c>
      <c r="G349" s="4" t="str">
        <f t="shared" si="5"/>
        <v>55</v>
      </c>
      <c r="H349" t="s">
        <v>2786</v>
      </c>
      <c r="I349" t="s">
        <v>14</v>
      </c>
      <c r="J349" t="s">
        <v>15</v>
      </c>
      <c r="K349" t="s">
        <v>16</v>
      </c>
      <c r="L349" t="s">
        <v>2511</v>
      </c>
      <c r="M349" t="s">
        <v>405</v>
      </c>
      <c r="N349" t="s">
        <v>405</v>
      </c>
    </row>
    <row r="350" spans="1:14">
      <c r="A350" t="s">
        <v>1859</v>
      </c>
      <c r="B350" t="s">
        <v>1848</v>
      </c>
      <c r="C350" t="s">
        <v>1860</v>
      </c>
      <c r="D350" t="s">
        <v>1856</v>
      </c>
      <c r="F350" s="4">
        <v>55</v>
      </c>
      <c r="G350" s="4" t="str">
        <f t="shared" si="5"/>
        <v>55</v>
      </c>
      <c r="H350" t="s">
        <v>2786</v>
      </c>
      <c r="I350" t="s">
        <v>14</v>
      </c>
      <c r="J350" t="s">
        <v>15</v>
      </c>
      <c r="K350" t="s">
        <v>16</v>
      </c>
      <c r="L350" t="s">
        <v>2512</v>
      </c>
      <c r="M350" t="s">
        <v>405</v>
      </c>
      <c r="N350" t="s">
        <v>405</v>
      </c>
    </row>
    <row r="351" spans="1:14">
      <c r="A351" t="s">
        <v>1861</v>
      </c>
      <c r="B351" t="s">
        <v>1848</v>
      </c>
      <c r="C351" t="s">
        <v>1862</v>
      </c>
      <c r="D351" t="s">
        <v>1856</v>
      </c>
      <c r="F351" s="4">
        <v>55</v>
      </c>
      <c r="G351" s="4" t="str">
        <f t="shared" si="5"/>
        <v>55</v>
      </c>
      <c r="H351" t="s">
        <v>2786</v>
      </c>
      <c r="I351" t="s">
        <v>14</v>
      </c>
      <c r="J351" t="s">
        <v>15</v>
      </c>
      <c r="K351" t="s">
        <v>16</v>
      </c>
      <c r="L351" t="s">
        <v>2513</v>
      </c>
      <c r="M351" t="s">
        <v>405</v>
      </c>
      <c r="N351" t="s">
        <v>405</v>
      </c>
    </row>
    <row r="352" spans="1:14">
      <c r="A352" t="s">
        <v>1863</v>
      </c>
      <c r="B352" t="s">
        <v>1848</v>
      </c>
      <c r="C352" t="s">
        <v>1864</v>
      </c>
      <c r="D352" t="s">
        <v>1856</v>
      </c>
      <c r="F352" s="4">
        <v>55</v>
      </c>
      <c r="G352" s="4" t="str">
        <f t="shared" si="5"/>
        <v>55</v>
      </c>
      <c r="H352" t="s">
        <v>2786</v>
      </c>
      <c r="I352" t="s">
        <v>14</v>
      </c>
      <c r="J352" t="s">
        <v>15</v>
      </c>
      <c r="K352" t="s">
        <v>16</v>
      </c>
      <c r="L352" t="s">
        <v>2514</v>
      </c>
      <c r="M352" t="s">
        <v>405</v>
      </c>
      <c r="N352" t="s">
        <v>405</v>
      </c>
    </row>
    <row r="353" spans="1:14">
      <c r="A353" t="s">
        <v>1865</v>
      </c>
      <c r="B353" t="s">
        <v>1848</v>
      </c>
      <c r="C353" t="s">
        <v>1866</v>
      </c>
      <c r="D353" t="s">
        <v>1856</v>
      </c>
      <c r="F353" s="4">
        <v>55</v>
      </c>
      <c r="G353" s="4" t="str">
        <f t="shared" si="5"/>
        <v>55</v>
      </c>
      <c r="H353" t="s">
        <v>2786</v>
      </c>
      <c r="I353" t="s">
        <v>14</v>
      </c>
      <c r="J353" t="s">
        <v>15</v>
      </c>
      <c r="K353" t="s">
        <v>16</v>
      </c>
      <c r="L353" t="s">
        <v>2515</v>
      </c>
      <c r="M353" t="s">
        <v>405</v>
      </c>
      <c r="N353" t="s">
        <v>405</v>
      </c>
    </row>
    <row r="354" spans="1:14">
      <c r="A354" t="s">
        <v>1867</v>
      </c>
      <c r="B354" t="s">
        <v>1848</v>
      </c>
      <c r="C354" t="s">
        <v>1868</v>
      </c>
      <c r="D354" t="s">
        <v>1856</v>
      </c>
      <c r="F354" s="4">
        <v>55</v>
      </c>
      <c r="G354" s="4" t="str">
        <f t="shared" si="5"/>
        <v>55</v>
      </c>
      <c r="H354" t="s">
        <v>2786</v>
      </c>
      <c r="I354" t="s">
        <v>14</v>
      </c>
      <c r="J354" t="s">
        <v>15</v>
      </c>
      <c r="K354" t="s">
        <v>16</v>
      </c>
      <c r="L354" t="s">
        <v>2516</v>
      </c>
      <c r="M354" t="s">
        <v>405</v>
      </c>
      <c r="N354" t="s">
        <v>405</v>
      </c>
    </row>
    <row r="355" spans="1:14">
      <c r="A355" t="s">
        <v>1869</v>
      </c>
      <c r="B355" t="s">
        <v>1848</v>
      </c>
      <c r="C355" t="s">
        <v>1870</v>
      </c>
      <c r="D355" t="s">
        <v>1856</v>
      </c>
      <c r="F355" s="4">
        <v>55</v>
      </c>
      <c r="G355" s="4" t="str">
        <f t="shared" si="5"/>
        <v>55</v>
      </c>
      <c r="H355" t="s">
        <v>2786</v>
      </c>
      <c r="I355" t="s">
        <v>14</v>
      </c>
      <c r="J355" t="s">
        <v>15</v>
      </c>
      <c r="K355" t="s">
        <v>16</v>
      </c>
      <c r="L355" t="s">
        <v>2517</v>
      </c>
      <c r="M355" t="s">
        <v>405</v>
      </c>
      <c r="N355" t="s">
        <v>405</v>
      </c>
    </row>
    <row r="356" spans="1:14">
      <c r="A356" t="s">
        <v>1871</v>
      </c>
      <c r="B356" t="s">
        <v>1848</v>
      </c>
      <c r="C356" t="s">
        <v>1872</v>
      </c>
      <c r="D356" t="s">
        <v>1856</v>
      </c>
      <c r="E356">
        <v>11956194376</v>
      </c>
      <c r="F356" s="4">
        <v>55</v>
      </c>
      <c r="G356" s="4" t="str">
        <f t="shared" si="5"/>
        <v>5511956194376</v>
      </c>
      <c r="H356" t="s">
        <v>2786</v>
      </c>
      <c r="I356" t="s">
        <v>14</v>
      </c>
      <c r="J356" t="s">
        <v>15</v>
      </c>
      <c r="K356" t="s">
        <v>16</v>
      </c>
      <c r="L356" t="s">
        <v>2518</v>
      </c>
      <c r="M356" t="s">
        <v>405</v>
      </c>
      <c r="N356" t="s">
        <v>405</v>
      </c>
    </row>
    <row r="357" spans="1:14">
      <c r="A357" t="s">
        <v>1873</v>
      </c>
      <c r="B357" t="s">
        <v>1848</v>
      </c>
      <c r="C357" t="s">
        <v>1874</v>
      </c>
      <c r="D357" t="s">
        <v>1875</v>
      </c>
      <c r="E357">
        <v>31975125577</v>
      </c>
      <c r="F357" s="4">
        <v>55</v>
      </c>
      <c r="G357" s="4" t="str">
        <f t="shared" si="5"/>
        <v>5531975125577</v>
      </c>
      <c r="H357" t="s">
        <v>2786</v>
      </c>
      <c r="I357" t="s">
        <v>14</v>
      </c>
      <c r="J357" t="s">
        <v>17</v>
      </c>
      <c r="K357" t="s">
        <v>16</v>
      </c>
      <c r="L357" t="s">
        <v>2519</v>
      </c>
      <c r="M357" t="s">
        <v>405</v>
      </c>
      <c r="N357" t="s">
        <v>405</v>
      </c>
    </row>
    <row r="358" spans="1:14">
      <c r="A358" t="s">
        <v>1876</v>
      </c>
      <c r="B358" t="s">
        <v>1848</v>
      </c>
      <c r="C358" t="s">
        <v>1877</v>
      </c>
      <c r="D358" t="s">
        <v>1878</v>
      </c>
      <c r="E358">
        <v>11972177210</v>
      </c>
      <c r="F358" s="4">
        <v>55</v>
      </c>
      <c r="G358" s="4" t="str">
        <f t="shared" si="5"/>
        <v>5511972177210</v>
      </c>
      <c r="H358" t="s">
        <v>2797</v>
      </c>
      <c r="I358" t="s">
        <v>14</v>
      </c>
      <c r="J358" t="s">
        <v>20</v>
      </c>
      <c r="K358" t="s">
        <v>16</v>
      </c>
      <c r="L358" t="s">
        <v>2520</v>
      </c>
      <c r="M358" t="s">
        <v>405</v>
      </c>
      <c r="N358" t="s">
        <v>405</v>
      </c>
    </row>
    <row r="359" spans="1:14">
      <c r="A359" t="s">
        <v>1879</v>
      </c>
      <c r="B359" t="s">
        <v>1848</v>
      </c>
      <c r="C359" t="s">
        <v>1880</v>
      </c>
      <c r="D359" t="s">
        <v>1881</v>
      </c>
      <c r="E359">
        <v>31984752423</v>
      </c>
      <c r="F359" s="4">
        <v>55</v>
      </c>
      <c r="G359" s="4" t="str">
        <f t="shared" si="5"/>
        <v>5531984752423</v>
      </c>
      <c r="H359" t="s">
        <v>2780</v>
      </c>
      <c r="I359" t="s">
        <v>14</v>
      </c>
      <c r="J359" t="s">
        <v>17</v>
      </c>
      <c r="K359" t="s">
        <v>16</v>
      </c>
      <c r="L359" t="s">
        <v>2521</v>
      </c>
      <c r="M359" t="s">
        <v>2522</v>
      </c>
      <c r="N359" t="s">
        <v>2523</v>
      </c>
    </row>
    <row r="360" spans="1:14">
      <c r="A360" t="s">
        <v>1882</v>
      </c>
      <c r="B360" t="s">
        <v>1848</v>
      </c>
      <c r="C360" t="s">
        <v>1883</v>
      </c>
      <c r="D360" t="s">
        <v>1884</v>
      </c>
      <c r="E360">
        <v>31994388697</v>
      </c>
      <c r="F360" s="4">
        <v>55</v>
      </c>
      <c r="G360" s="4" t="str">
        <f t="shared" si="5"/>
        <v>5531994388697</v>
      </c>
      <c r="H360" t="s">
        <v>2780</v>
      </c>
      <c r="I360" t="s">
        <v>14</v>
      </c>
      <c r="J360" t="s">
        <v>17</v>
      </c>
      <c r="K360" t="s">
        <v>16</v>
      </c>
      <c r="L360" t="s">
        <v>2524</v>
      </c>
      <c r="M360" t="s">
        <v>2525</v>
      </c>
      <c r="N360" t="s">
        <v>2526</v>
      </c>
    </row>
    <row r="361" spans="1:14">
      <c r="A361" t="s">
        <v>1885</v>
      </c>
      <c r="B361" t="s">
        <v>1848</v>
      </c>
      <c r="C361" t="s">
        <v>1886</v>
      </c>
      <c r="D361" t="s">
        <v>1887</v>
      </c>
      <c r="F361" s="4">
        <v>55</v>
      </c>
      <c r="G361" s="4" t="str">
        <f t="shared" si="5"/>
        <v>55</v>
      </c>
      <c r="H361" t="s">
        <v>2779</v>
      </c>
      <c r="I361" t="s">
        <v>14</v>
      </c>
      <c r="J361" t="s">
        <v>15</v>
      </c>
      <c r="K361" t="s">
        <v>16</v>
      </c>
      <c r="L361" t="s">
        <v>2527</v>
      </c>
      <c r="M361" t="s">
        <v>2528</v>
      </c>
      <c r="N361" t="s">
        <v>2529</v>
      </c>
    </row>
    <row r="362" spans="1:14">
      <c r="A362" t="s">
        <v>1888</v>
      </c>
      <c r="B362" t="s">
        <v>1848</v>
      </c>
      <c r="C362" t="s">
        <v>1889</v>
      </c>
      <c r="D362" t="s">
        <v>1890</v>
      </c>
      <c r="E362">
        <v>11967739652</v>
      </c>
      <c r="F362" s="4">
        <v>55</v>
      </c>
      <c r="G362" s="4" t="str">
        <f t="shared" si="5"/>
        <v>5511967739652</v>
      </c>
      <c r="H362" t="s">
        <v>2789</v>
      </c>
      <c r="I362" t="s">
        <v>14</v>
      </c>
      <c r="J362" t="s">
        <v>19</v>
      </c>
      <c r="K362" t="s">
        <v>16</v>
      </c>
      <c r="L362" t="s">
        <v>2530</v>
      </c>
      <c r="M362" t="s">
        <v>2531</v>
      </c>
      <c r="N362" t="s">
        <v>2532</v>
      </c>
    </row>
    <row r="363" spans="1:14">
      <c r="A363" t="s">
        <v>1891</v>
      </c>
      <c r="B363" t="s">
        <v>1892</v>
      </c>
      <c r="C363" t="s">
        <v>1893</v>
      </c>
      <c r="D363" t="s">
        <v>1894</v>
      </c>
      <c r="E363">
        <v>71999601984</v>
      </c>
      <c r="F363" s="4">
        <v>55</v>
      </c>
      <c r="G363" s="4" t="str">
        <f t="shared" si="5"/>
        <v>5571999601984</v>
      </c>
      <c r="H363" t="s">
        <v>2788</v>
      </c>
      <c r="I363" t="s">
        <v>14</v>
      </c>
      <c r="J363" t="s">
        <v>398</v>
      </c>
      <c r="K363" t="s">
        <v>16</v>
      </c>
      <c r="L363" t="s">
        <v>2533</v>
      </c>
      <c r="M363" t="s">
        <v>2534</v>
      </c>
      <c r="N363" t="s">
        <v>2535</v>
      </c>
    </row>
    <row r="364" spans="1:14">
      <c r="A364" t="s">
        <v>1895</v>
      </c>
      <c r="B364" t="s">
        <v>1892</v>
      </c>
      <c r="C364" t="s">
        <v>1896</v>
      </c>
      <c r="D364" t="s">
        <v>1897</v>
      </c>
      <c r="E364">
        <v>12988173870</v>
      </c>
      <c r="F364" s="4">
        <v>55</v>
      </c>
      <c r="G364" s="4" t="str">
        <f t="shared" si="5"/>
        <v>5512988173870</v>
      </c>
      <c r="H364" t="s">
        <v>2786</v>
      </c>
      <c r="I364" t="s">
        <v>14</v>
      </c>
      <c r="J364" t="s">
        <v>19</v>
      </c>
      <c r="K364" t="s">
        <v>16</v>
      </c>
      <c r="L364" t="s">
        <v>2536</v>
      </c>
      <c r="M364" t="s">
        <v>405</v>
      </c>
      <c r="N364" t="s">
        <v>405</v>
      </c>
    </row>
    <row r="365" spans="1:14">
      <c r="A365" t="s">
        <v>1898</v>
      </c>
      <c r="B365" t="s">
        <v>1892</v>
      </c>
      <c r="C365" t="s">
        <v>1899</v>
      </c>
      <c r="D365" t="s">
        <v>1900</v>
      </c>
      <c r="E365">
        <v>11991566917</v>
      </c>
      <c r="F365" s="4">
        <v>55</v>
      </c>
      <c r="G365" s="4" t="str">
        <f t="shared" si="5"/>
        <v>5511991566917</v>
      </c>
      <c r="H365" t="s">
        <v>2787</v>
      </c>
      <c r="I365" t="s">
        <v>14</v>
      </c>
      <c r="J365" t="s">
        <v>398</v>
      </c>
      <c r="K365" t="s">
        <v>16</v>
      </c>
      <c r="L365" t="s">
        <v>2537</v>
      </c>
      <c r="M365" t="s">
        <v>2538</v>
      </c>
      <c r="N365" t="s">
        <v>2539</v>
      </c>
    </row>
    <row r="366" spans="1:14">
      <c r="A366" t="s">
        <v>1901</v>
      </c>
      <c r="B366" t="s">
        <v>1892</v>
      </c>
      <c r="C366" t="s">
        <v>792</v>
      </c>
      <c r="D366" t="s">
        <v>793</v>
      </c>
      <c r="E366">
        <v>1239238589</v>
      </c>
      <c r="F366" s="4">
        <v>55</v>
      </c>
      <c r="G366" s="4" t="str">
        <f t="shared" si="5"/>
        <v>551239238589</v>
      </c>
      <c r="H366" t="s">
        <v>2788</v>
      </c>
      <c r="I366" t="s">
        <v>14</v>
      </c>
      <c r="J366" t="s">
        <v>19</v>
      </c>
      <c r="K366" t="s">
        <v>16</v>
      </c>
      <c r="L366" t="s">
        <v>794</v>
      </c>
      <c r="M366" t="s">
        <v>795</v>
      </c>
      <c r="N366" t="s">
        <v>796</v>
      </c>
    </row>
    <row r="367" spans="1:14">
      <c r="A367" t="s">
        <v>1902</v>
      </c>
      <c r="B367" t="s">
        <v>1892</v>
      </c>
      <c r="C367" t="s">
        <v>1903</v>
      </c>
      <c r="D367" t="s">
        <v>1904</v>
      </c>
      <c r="E367">
        <v>3138652214</v>
      </c>
      <c r="F367" s="4">
        <v>55</v>
      </c>
      <c r="G367" s="4" t="str">
        <f t="shared" si="5"/>
        <v>553138652214</v>
      </c>
      <c r="H367" t="s">
        <v>2786</v>
      </c>
      <c r="I367" t="s">
        <v>14</v>
      </c>
      <c r="J367" t="s">
        <v>158</v>
      </c>
      <c r="K367" t="s">
        <v>16</v>
      </c>
      <c r="L367" t="s">
        <v>2540</v>
      </c>
      <c r="M367" t="s">
        <v>405</v>
      </c>
      <c r="N367" t="s">
        <v>405</v>
      </c>
    </row>
    <row r="368" spans="1:14">
      <c r="A368" t="s">
        <v>1905</v>
      </c>
      <c r="B368" t="s">
        <v>1892</v>
      </c>
      <c r="C368" t="s">
        <v>1906</v>
      </c>
      <c r="D368" t="s">
        <v>1907</v>
      </c>
      <c r="E368">
        <v>31991817008</v>
      </c>
      <c r="F368" s="4">
        <v>55</v>
      </c>
      <c r="G368" s="4" t="str">
        <f t="shared" si="5"/>
        <v>5531991817008</v>
      </c>
      <c r="H368" t="s">
        <v>2787</v>
      </c>
      <c r="I368" t="s">
        <v>14</v>
      </c>
      <c r="J368" t="s">
        <v>17</v>
      </c>
      <c r="K368" t="s">
        <v>16</v>
      </c>
      <c r="L368" t="s">
        <v>2541</v>
      </c>
      <c r="M368" t="s">
        <v>2542</v>
      </c>
      <c r="N368" t="s">
        <v>2543</v>
      </c>
    </row>
    <row r="369" spans="1:14">
      <c r="A369" t="s">
        <v>1908</v>
      </c>
      <c r="B369" t="s">
        <v>1892</v>
      </c>
      <c r="C369" t="s">
        <v>1909</v>
      </c>
      <c r="D369" t="s">
        <v>1910</v>
      </c>
      <c r="E369">
        <v>11982503290</v>
      </c>
      <c r="F369" s="4">
        <v>55</v>
      </c>
      <c r="G369" s="4" t="str">
        <f t="shared" si="5"/>
        <v>5511982503290</v>
      </c>
      <c r="H369" t="s">
        <v>2788</v>
      </c>
      <c r="I369" t="s">
        <v>14</v>
      </c>
      <c r="J369" t="s">
        <v>398</v>
      </c>
      <c r="K369" t="s">
        <v>16</v>
      </c>
      <c r="L369" t="s">
        <v>2544</v>
      </c>
      <c r="M369" t="s">
        <v>2545</v>
      </c>
      <c r="N369" t="s">
        <v>1909</v>
      </c>
    </row>
    <row r="370" spans="1:14">
      <c r="A370" t="s">
        <v>1911</v>
      </c>
      <c r="B370" t="s">
        <v>1892</v>
      </c>
      <c r="C370" t="s">
        <v>1912</v>
      </c>
      <c r="D370" t="s">
        <v>1913</v>
      </c>
      <c r="E370">
        <v>31983160008</v>
      </c>
      <c r="F370" s="4">
        <v>55</v>
      </c>
      <c r="G370" s="4" t="str">
        <f t="shared" si="5"/>
        <v>5531983160008</v>
      </c>
      <c r="H370" t="s">
        <v>2786</v>
      </c>
      <c r="I370" t="s">
        <v>14</v>
      </c>
      <c r="J370" t="s">
        <v>101</v>
      </c>
      <c r="K370" t="s">
        <v>16</v>
      </c>
      <c r="L370" t="s">
        <v>2546</v>
      </c>
      <c r="M370" t="s">
        <v>405</v>
      </c>
      <c r="N370" t="s">
        <v>405</v>
      </c>
    </row>
    <row r="371" spans="1:14">
      <c r="A371" t="s">
        <v>1914</v>
      </c>
      <c r="B371" t="s">
        <v>1892</v>
      </c>
      <c r="C371" t="s">
        <v>1915</v>
      </c>
      <c r="D371" t="s">
        <v>1916</v>
      </c>
      <c r="E371">
        <v>12996670499</v>
      </c>
      <c r="F371" s="4">
        <v>55</v>
      </c>
      <c r="G371" s="4" t="str">
        <f t="shared" si="5"/>
        <v>5512996670499</v>
      </c>
      <c r="H371" t="s">
        <v>2791</v>
      </c>
      <c r="I371" t="s">
        <v>14</v>
      </c>
      <c r="J371" t="s">
        <v>158</v>
      </c>
      <c r="K371" t="s">
        <v>16</v>
      </c>
      <c r="L371" t="s">
        <v>2547</v>
      </c>
      <c r="M371" t="s">
        <v>405</v>
      </c>
      <c r="N371" t="s">
        <v>405</v>
      </c>
    </row>
    <row r="372" spans="1:14">
      <c r="A372" t="s">
        <v>1917</v>
      </c>
      <c r="B372" t="s">
        <v>1892</v>
      </c>
      <c r="C372" t="s">
        <v>1918</v>
      </c>
      <c r="D372" t="s">
        <v>1919</v>
      </c>
      <c r="E372">
        <v>11976896702</v>
      </c>
      <c r="F372" s="4">
        <v>55</v>
      </c>
      <c r="G372" s="4" t="str">
        <f t="shared" si="5"/>
        <v>5511976896702</v>
      </c>
      <c r="H372" t="s">
        <v>2781</v>
      </c>
      <c r="I372" t="s">
        <v>14</v>
      </c>
      <c r="J372" t="s">
        <v>19</v>
      </c>
      <c r="K372" t="s">
        <v>16</v>
      </c>
      <c r="L372" t="s">
        <v>2548</v>
      </c>
      <c r="M372" t="s">
        <v>405</v>
      </c>
      <c r="N372" t="s">
        <v>405</v>
      </c>
    </row>
    <row r="373" spans="1:14">
      <c r="A373" t="s">
        <v>1920</v>
      </c>
      <c r="B373" t="s">
        <v>1921</v>
      </c>
      <c r="C373" t="s">
        <v>1922</v>
      </c>
      <c r="D373" t="s">
        <v>1923</v>
      </c>
      <c r="F373" s="4">
        <v>55</v>
      </c>
      <c r="G373" s="4" t="str">
        <f t="shared" si="5"/>
        <v>55</v>
      </c>
      <c r="H373" t="s">
        <v>2780</v>
      </c>
      <c r="I373" t="s">
        <v>14</v>
      </c>
      <c r="J373" t="s">
        <v>15</v>
      </c>
      <c r="K373" t="s">
        <v>16</v>
      </c>
      <c r="L373" t="s">
        <v>2549</v>
      </c>
      <c r="M373" t="s">
        <v>2550</v>
      </c>
      <c r="N373" t="s">
        <v>2551</v>
      </c>
    </row>
    <row r="374" spans="1:14">
      <c r="A374" t="s">
        <v>1924</v>
      </c>
      <c r="B374" t="s">
        <v>1921</v>
      </c>
      <c r="C374" t="s">
        <v>1925</v>
      </c>
      <c r="D374" t="s">
        <v>218</v>
      </c>
      <c r="E374">
        <v>31999300031</v>
      </c>
      <c r="F374" s="4">
        <v>55</v>
      </c>
      <c r="G374" s="4" t="str">
        <f t="shared" si="5"/>
        <v>5531999300031</v>
      </c>
      <c r="H374" t="s">
        <v>2781</v>
      </c>
      <c r="I374" t="s">
        <v>14</v>
      </c>
      <c r="J374" t="s">
        <v>17</v>
      </c>
      <c r="K374" t="s">
        <v>16</v>
      </c>
      <c r="L374" t="s">
        <v>2552</v>
      </c>
      <c r="M374" t="s">
        <v>405</v>
      </c>
      <c r="N374" t="s">
        <v>405</v>
      </c>
    </row>
    <row r="375" spans="1:14">
      <c r="A375" t="s">
        <v>1926</v>
      </c>
      <c r="B375" t="s">
        <v>1921</v>
      </c>
      <c r="C375" t="s">
        <v>1927</v>
      </c>
      <c r="D375" t="s">
        <v>1928</v>
      </c>
      <c r="E375">
        <v>11961651974</v>
      </c>
      <c r="F375" s="4">
        <v>55</v>
      </c>
      <c r="G375" s="4" t="str">
        <f t="shared" si="5"/>
        <v>5511961651974</v>
      </c>
      <c r="H375" t="s">
        <v>2780</v>
      </c>
      <c r="I375" t="s">
        <v>14</v>
      </c>
      <c r="J375" t="s">
        <v>18</v>
      </c>
      <c r="K375" t="s">
        <v>16</v>
      </c>
      <c r="L375" t="s">
        <v>2553</v>
      </c>
      <c r="M375" t="s">
        <v>2554</v>
      </c>
      <c r="N375" t="s">
        <v>2555</v>
      </c>
    </row>
    <row r="376" spans="1:14">
      <c r="A376" t="s">
        <v>1929</v>
      </c>
      <c r="B376" t="s">
        <v>1921</v>
      </c>
      <c r="C376" t="s">
        <v>1930</v>
      </c>
      <c r="D376" t="s">
        <v>1931</v>
      </c>
      <c r="F376" s="4">
        <v>55</v>
      </c>
      <c r="G376" s="4" t="str">
        <f t="shared" si="5"/>
        <v>55</v>
      </c>
      <c r="H376" t="s">
        <v>2780</v>
      </c>
      <c r="I376" t="s">
        <v>14</v>
      </c>
      <c r="J376" t="s">
        <v>15</v>
      </c>
      <c r="K376" t="s">
        <v>16</v>
      </c>
      <c r="L376" t="s">
        <v>2556</v>
      </c>
      <c r="M376" t="s">
        <v>2557</v>
      </c>
      <c r="N376" t="s">
        <v>2558</v>
      </c>
    </row>
    <row r="377" spans="1:14">
      <c r="A377" t="s">
        <v>1932</v>
      </c>
      <c r="B377" t="s">
        <v>1921</v>
      </c>
      <c r="C377" t="s">
        <v>1933</v>
      </c>
      <c r="D377" t="s">
        <v>212</v>
      </c>
      <c r="E377">
        <v>11947227479</v>
      </c>
      <c r="F377" s="4">
        <v>55</v>
      </c>
      <c r="G377" s="4" t="str">
        <f t="shared" si="5"/>
        <v>5511947227479</v>
      </c>
      <c r="H377" t="s">
        <v>2789</v>
      </c>
      <c r="I377" t="s">
        <v>14</v>
      </c>
      <c r="J377" t="s">
        <v>19</v>
      </c>
      <c r="K377" t="s">
        <v>16</v>
      </c>
      <c r="L377" t="s">
        <v>2559</v>
      </c>
      <c r="M377" t="s">
        <v>2560</v>
      </c>
      <c r="N377" t="s">
        <v>1933</v>
      </c>
    </row>
    <row r="378" spans="1:14">
      <c r="A378" t="s">
        <v>1934</v>
      </c>
      <c r="B378" t="s">
        <v>1921</v>
      </c>
      <c r="C378" t="s">
        <v>1935</v>
      </c>
      <c r="D378" t="s">
        <v>1936</v>
      </c>
      <c r="E378">
        <v>31975563624</v>
      </c>
      <c r="F378" s="4">
        <v>55</v>
      </c>
      <c r="G378" s="4" t="str">
        <f t="shared" si="5"/>
        <v>5531975563624</v>
      </c>
      <c r="H378" t="s">
        <v>2789</v>
      </c>
      <c r="I378" t="s">
        <v>14</v>
      </c>
      <c r="J378" t="s">
        <v>17</v>
      </c>
      <c r="K378" t="s">
        <v>16</v>
      </c>
      <c r="L378" t="s">
        <v>2561</v>
      </c>
      <c r="M378" t="s">
        <v>2562</v>
      </c>
      <c r="N378" t="s">
        <v>2563</v>
      </c>
    </row>
    <row r="379" spans="1:14">
      <c r="A379" t="s">
        <v>1937</v>
      </c>
      <c r="B379" t="s">
        <v>1921</v>
      </c>
      <c r="C379" t="s">
        <v>1938</v>
      </c>
      <c r="D379" t="s">
        <v>1939</v>
      </c>
      <c r="E379">
        <v>1132555761</v>
      </c>
      <c r="F379" s="4">
        <v>55</v>
      </c>
      <c r="G379" s="4" t="str">
        <f t="shared" si="5"/>
        <v>551132555761</v>
      </c>
      <c r="H379" t="s">
        <v>2789</v>
      </c>
      <c r="I379" t="s">
        <v>14</v>
      </c>
      <c r="J379" t="s">
        <v>15</v>
      </c>
      <c r="K379" t="s">
        <v>16</v>
      </c>
      <c r="L379" t="s">
        <v>2564</v>
      </c>
      <c r="M379" t="s">
        <v>2565</v>
      </c>
      <c r="N379" t="s">
        <v>2566</v>
      </c>
    </row>
    <row r="380" spans="1:14">
      <c r="A380" t="s">
        <v>1940</v>
      </c>
      <c r="B380" t="s">
        <v>1921</v>
      </c>
      <c r="C380" t="s">
        <v>1941</v>
      </c>
      <c r="D380" t="s">
        <v>1942</v>
      </c>
      <c r="E380">
        <v>31992076162</v>
      </c>
      <c r="F380" s="4">
        <v>55</v>
      </c>
      <c r="G380" s="4" t="str">
        <f t="shared" si="5"/>
        <v>5531992076162</v>
      </c>
      <c r="H380" t="s">
        <v>2789</v>
      </c>
      <c r="I380" t="s">
        <v>14</v>
      </c>
      <c r="J380" t="s">
        <v>17</v>
      </c>
      <c r="K380" t="s">
        <v>16</v>
      </c>
      <c r="L380" t="s">
        <v>2567</v>
      </c>
      <c r="M380" t="s">
        <v>2568</v>
      </c>
      <c r="N380" t="s">
        <v>1941</v>
      </c>
    </row>
    <row r="381" spans="1:14">
      <c r="A381" t="s">
        <v>1943</v>
      </c>
      <c r="B381" t="s">
        <v>1921</v>
      </c>
      <c r="C381" t="s">
        <v>356</v>
      </c>
      <c r="D381" t="s">
        <v>1944</v>
      </c>
      <c r="E381">
        <v>1239312164</v>
      </c>
      <c r="F381" s="4">
        <v>55</v>
      </c>
      <c r="G381" s="4" t="str">
        <f t="shared" si="5"/>
        <v>551239312164</v>
      </c>
      <c r="H381" t="s">
        <v>2780</v>
      </c>
      <c r="I381" t="s">
        <v>14</v>
      </c>
      <c r="J381" t="s">
        <v>19</v>
      </c>
      <c r="K381" t="s">
        <v>16</v>
      </c>
      <c r="L381" t="s">
        <v>357</v>
      </c>
      <c r="M381" t="s">
        <v>2569</v>
      </c>
      <c r="N381" t="s">
        <v>2570</v>
      </c>
    </row>
    <row r="382" spans="1:14">
      <c r="A382" t="s">
        <v>1945</v>
      </c>
      <c r="B382" t="s">
        <v>1921</v>
      </c>
      <c r="C382" t="s">
        <v>1946</v>
      </c>
      <c r="D382" t="s">
        <v>54</v>
      </c>
      <c r="E382">
        <v>61992714086</v>
      </c>
      <c r="F382" s="4">
        <v>55</v>
      </c>
      <c r="G382" s="4" t="str">
        <f t="shared" si="5"/>
        <v>5561992714086</v>
      </c>
      <c r="H382" t="s">
        <v>2781</v>
      </c>
      <c r="I382" t="s">
        <v>14</v>
      </c>
      <c r="J382" t="s">
        <v>15</v>
      </c>
      <c r="K382" t="s">
        <v>16</v>
      </c>
      <c r="L382" t="s">
        <v>2571</v>
      </c>
      <c r="M382" t="s">
        <v>405</v>
      </c>
      <c r="N382" t="s">
        <v>405</v>
      </c>
    </row>
    <row r="383" spans="1:14">
      <c r="A383" t="s">
        <v>1947</v>
      </c>
      <c r="B383" t="s">
        <v>1921</v>
      </c>
      <c r="C383" t="s">
        <v>412</v>
      </c>
      <c r="D383" t="s">
        <v>54</v>
      </c>
      <c r="E383">
        <v>11971486400</v>
      </c>
      <c r="F383" s="4">
        <v>55</v>
      </c>
      <c r="G383" s="4" t="str">
        <f t="shared" si="5"/>
        <v>5511971486400</v>
      </c>
      <c r="H383" t="s">
        <v>2789</v>
      </c>
      <c r="I383" t="s">
        <v>14</v>
      </c>
      <c r="J383" t="s">
        <v>15</v>
      </c>
      <c r="K383" t="s">
        <v>16</v>
      </c>
      <c r="L383" t="s">
        <v>413</v>
      </c>
      <c r="M383" t="s">
        <v>2572</v>
      </c>
      <c r="N383" t="s">
        <v>414</v>
      </c>
    </row>
    <row r="384" spans="1:14">
      <c r="A384" t="s">
        <v>1948</v>
      </c>
      <c r="B384" t="s">
        <v>1921</v>
      </c>
      <c r="C384" t="s">
        <v>1949</v>
      </c>
      <c r="D384" t="s">
        <v>1950</v>
      </c>
      <c r="F384" s="4">
        <v>55</v>
      </c>
      <c r="G384" s="4" t="str">
        <f t="shared" si="5"/>
        <v>55</v>
      </c>
      <c r="H384" t="s">
        <v>2780</v>
      </c>
      <c r="I384" t="s">
        <v>14</v>
      </c>
      <c r="J384" t="s">
        <v>15</v>
      </c>
      <c r="K384" t="s">
        <v>16</v>
      </c>
      <c r="L384" t="s">
        <v>2573</v>
      </c>
      <c r="M384" t="s">
        <v>2574</v>
      </c>
      <c r="N384" t="s">
        <v>2575</v>
      </c>
    </row>
    <row r="385" spans="1:14">
      <c r="A385" t="s">
        <v>1951</v>
      </c>
      <c r="B385" t="s">
        <v>1921</v>
      </c>
      <c r="C385" t="s">
        <v>1952</v>
      </c>
      <c r="D385" t="s">
        <v>1953</v>
      </c>
      <c r="E385">
        <v>12997817873</v>
      </c>
      <c r="F385" s="4">
        <v>55</v>
      </c>
      <c r="G385" s="4" t="str">
        <f t="shared" si="5"/>
        <v>5512997817873</v>
      </c>
      <c r="H385" t="s">
        <v>2780</v>
      </c>
      <c r="I385" t="s">
        <v>14</v>
      </c>
      <c r="J385" t="s">
        <v>19</v>
      </c>
      <c r="K385" t="s">
        <v>16</v>
      </c>
      <c r="L385" t="s">
        <v>2576</v>
      </c>
      <c r="M385" t="s">
        <v>2577</v>
      </c>
      <c r="N385" t="s">
        <v>2578</v>
      </c>
    </row>
    <row r="386" spans="1:14">
      <c r="A386" t="s">
        <v>1954</v>
      </c>
      <c r="B386" t="s">
        <v>1921</v>
      </c>
      <c r="C386" t="s">
        <v>1955</v>
      </c>
      <c r="D386" t="s">
        <v>1956</v>
      </c>
      <c r="E386">
        <v>12988279040</v>
      </c>
      <c r="F386" s="4">
        <v>55</v>
      </c>
      <c r="G386" s="4" t="str">
        <f t="shared" si="5"/>
        <v>5512988279040</v>
      </c>
      <c r="H386" t="s">
        <v>2789</v>
      </c>
      <c r="I386" t="s">
        <v>14</v>
      </c>
      <c r="J386" t="s">
        <v>19</v>
      </c>
      <c r="K386" t="s">
        <v>16</v>
      </c>
      <c r="L386" t="s">
        <v>2579</v>
      </c>
      <c r="M386" t="s">
        <v>2580</v>
      </c>
      <c r="N386" t="s">
        <v>2581</v>
      </c>
    </row>
    <row r="387" spans="1:14">
      <c r="A387" t="s">
        <v>1957</v>
      </c>
      <c r="B387" t="s">
        <v>1921</v>
      </c>
      <c r="C387" t="s">
        <v>1958</v>
      </c>
      <c r="D387" t="s">
        <v>1959</v>
      </c>
      <c r="E387">
        <v>31996146335</v>
      </c>
      <c r="F387" s="4">
        <v>55</v>
      </c>
      <c r="G387" s="4" t="str">
        <f t="shared" ref="G387:G450" si="6">CONCATENATE(F387,E387)</f>
        <v>5531996146335</v>
      </c>
      <c r="H387" t="s">
        <v>2789</v>
      </c>
      <c r="I387" t="s">
        <v>14</v>
      </c>
      <c r="J387" t="s">
        <v>17</v>
      </c>
      <c r="K387" t="s">
        <v>16</v>
      </c>
      <c r="L387" t="s">
        <v>2582</v>
      </c>
      <c r="M387" t="s">
        <v>2583</v>
      </c>
      <c r="N387" t="s">
        <v>2584</v>
      </c>
    </row>
    <row r="388" spans="1:14">
      <c r="A388" t="s">
        <v>1960</v>
      </c>
      <c r="B388" t="s">
        <v>1921</v>
      </c>
      <c r="C388" t="s">
        <v>1961</v>
      </c>
      <c r="D388" t="s">
        <v>42</v>
      </c>
      <c r="E388">
        <v>11949541322</v>
      </c>
      <c r="F388" s="4">
        <v>55</v>
      </c>
      <c r="G388" s="4" t="str">
        <f t="shared" si="6"/>
        <v>5511949541322</v>
      </c>
      <c r="H388" t="s">
        <v>2789</v>
      </c>
      <c r="I388" t="s">
        <v>14</v>
      </c>
      <c r="J388" t="s">
        <v>19</v>
      </c>
      <c r="K388" t="s">
        <v>16</v>
      </c>
      <c r="L388" t="s">
        <v>2585</v>
      </c>
      <c r="M388" t="s">
        <v>2586</v>
      </c>
      <c r="N388" t="s">
        <v>2587</v>
      </c>
    </row>
    <row r="389" spans="1:14">
      <c r="A389" t="s">
        <v>1962</v>
      </c>
      <c r="B389" t="s">
        <v>1921</v>
      </c>
      <c r="C389" t="s">
        <v>1963</v>
      </c>
      <c r="D389" t="s">
        <v>126</v>
      </c>
      <c r="E389">
        <v>11947781210</v>
      </c>
      <c r="F389" s="4">
        <v>55</v>
      </c>
      <c r="G389" s="4" t="str">
        <f t="shared" si="6"/>
        <v>5511947781210</v>
      </c>
      <c r="H389" t="s">
        <v>2789</v>
      </c>
      <c r="I389" t="s">
        <v>14</v>
      </c>
      <c r="J389" t="s">
        <v>19</v>
      </c>
      <c r="K389" t="s">
        <v>16</v>
      </c>
      <c r="L389" t="s">
        <v>2588</v>
      </c>
      <c r="M389" t="s">
        <v>2589</v>
      </c>
      <c r="N389" t="s">
        <v>2590</v>
      </c>
    </row>
    <row r="390" spans="1:14">
      <c r="A390" t="s">
        <v>1964</v>
      </c>
      <c r="B390" t="s">
        <v>1921</v>
      </c>
      <c r="C390" t="s">
        <v>1965</v>
      </c>
      <c r="D390" t="s">
        <v>1966</v>
      </c>
      <c r="E390">
        <v>31999139409</v>
      </c>
      <c r="F390" s="4">
        <v>55</v>
      </c>
      <c r="G390" s="4" t="str">
        <f t="shared" si="6"/>
        <v>5531999139409</v>
      </c>
      <c r="H390" t="s">
        <v>2789</v>
      </c>
      <c r="I390" t="s">
        <v>14</v>
      </c>
      <c r="J390" t="s">
        <v>17</v>
      </c>
      <c r="K390" t="s">
        <v>16</v>
      </c>
      <c r="L390" t="s">
        <v>2591</v>
      </c>
      <c r="M390" t="s">
        <v>2592</v>
      </c>
      <c r="N390" t="s">
        <v>1965</v>
      </c>
    </row>
    <row r="391" spans="1:14">
      <c r="A391" t="s">
        <v>1967</v>
      </c>
      <c r="B391" t="s">
        <v>1921</v>
      </c>
      <c r="C391" t="s">
        <v>1968</v>
      </c>
      <c r="D391" t="s">
        <v>1969</v>
      </c>
      <c r="E391">
        <v>12982507980</v>
      </c>
      <c r="F391" s="4">
        <v>55</v>
      </c>
      <c r="G391" s="4" t="str">
        <f t="shared" si="6"/>
        <v>5512982507980</v>
      </c>
      <c r="H391" t="s">
        <v>2789</v>
      </c>
      <c r="I391" t="s">
        <v>14</v>
      </c>
      <c r="J391" t="s">
        <v>19</v>
      </c>
      <c r="K391" t="s">
        <v>16</v>
      </c>
      <c r="L391" t="s">
        <v>2593</v>
      </c>
      <c r="M391" t="s">
        <v>2594</v>
      </c>
      <c r="N391" t="s">
        <v>2595</v>
      </c>
    </row>
    <row r="392" spans="1:14">
      <c r="A392" t="s">
        <v>1970</v>
      </c>
      <c r="B392" t="s">
        <v>1921</v>
      </c>
      <c r="C392" t="s">
        <v>1971</v>
      </c>
      <c r="D392" t="s">
        <v>1972</v>
      </c>
      <c r="E392">
        <v>31975077357</v>
      </c>
      <c r="F392" s="4">
        <v>55</v>
      </c>
      <c r="G392" s="4" t="str">
        <f t="shared" si="6"/>
        <v>5531975077357</v>
      </c>
      <c r="H392" t="s">
        <v>2789</v>
      </c>
      <c r="I392" t="s">
        <v>14</v>
      </c>
      <c r="J392" t="s">
        <v>17</v>
      </c>
      <c r="K392" t="s">
        <v>16</v>
      </c>
      <c r="L392" t="s">
        <v>2596</v>
      </c>
      <c r="M392" t="s">
        <v>2597</v>
      </c>
      <c r="N392" t="s">
        <v>2598</v>
      </c>
    </row>
    <row r="393" spans="1:14">
      <c r="A393" t="s">
        <v>1973</v>
      </c>
      <c r="B393" t="s">
        <v>1921</v>
      </c>
      <c r="C393" t="s">
        <v>1974</v>
      </c>
      <c r="D393" t="s">
        <v>1975</v>
      </c>
      <c r="E393">
        <v>31997691529</v>
      </c>
      <c r="F393" s="4">
        <v>55</v>
      </c>
      <c r="G393" s="4" t="str">
        <f t="shared" si="6"/>
        <v>5531997691529</v>
      </c>
      <c r="H393" t="s">
        <v>2780</v>
      </c>
      <c r="I393" t="s">
        <v>14</v>
      </c>
      <c r="J393" t="s">
        <v>17</v>
      </c>
      <c r="K393" t="s">
        <v>16</v>
      </c>
      <c r="L393" t="s">
        <v>2599</v>
      </c>
      <c r="M393" t="s">
        <v>2600</v>
      </c>
      <c r="N393" t="s">
        <v>2601</v>
      </c>
    </row>
    <row r="394" spans="1:14">
      <c r="A394" t="s">
        <v>1976</v>
      </c>
      <c r="B394" t="s">
        <v>1921</v>
      </c>
      <c r="C394" t="s">
        <v>1977</v>
      </c>
      <c r="D394" t="s">
        <v>1978</v>
      </c>
      <c r="E394">
        <v>12988278094</v>
      </c>
      <c r="F394" s="4">
        <v>55</v>
      </c>
      <c r="G394" s="4" t="str">
        <f t="shared" si="6"/>
        <v>5512988278094</v>
      </c>
      <c r="H394" t="s">
        <v>2789</v>
      </c>
      <c r="I394" t="s">
        <v>14</v>
      </c>
      <c r="J394" t="s">
        <v>19</v>
      </c>
      <c r="K394" t="s">
        <v>16</v>
      </c>
      <c r="L394" t="s">
        <v>2602</v>
      </c>
      <c r="M394" t="s">
        <v>2603</v>
      </c>
      <c r="N394" t="s">
        <v>2604</v>
      </c>
    </row>
    <row r="395" spans="1:14">
      <c r="A395" t="s">
        <v>1979</v>
      </c>
      <c r="B395" t="s">
        <v>1921</v>
      </c>
      <c r="C395" t="s">
        <v>1980</v>
      </c>
      <c r="D395" t="s">
        <v>1981</v>
      </c>
      <c r="E395">
        <v>31973507202</v>
      </c>
      <c r="F395" s="4">
        <v>55</v>
      </c>
      <c r="G395" s="4" t="str">
        <f t="shared" si="6"/>
        <v>5531973507202</v>
      </c>
      <c r="H395" t="s">
        <v>2781</v>
      </c>
      <c r="I395" t="s">
        <v>14</v>
      </c>
      <c r="J395" t="s">
        <v>17</v>
      </c>
      <c r="K395" t="s">
        <v>16</v>
      </c>
      <c r="L395" t="s">
        <v>2605</v>
      </c>
      <c r="M395" t="s">
        <v>405</v>
      </c>
      <c r="N395" t="s">
        <v>405</v>
      </c>
    </row>
    <row r="396" spans="1:14">
      <c r="A396" t="s">
        <v>1982</v>
      </c>
      <c r="B396" t="s">
        <v>1921</v>
      </c>
      <c r="C396" t="s">
        <v>1983</v>
      </c>
      <c r="D396" t="s">
        <v>1984</v>
      </c>
      <c r="E396">
        <v>1195077557</v>
      </c>
      <c r="F396" s="4">
        <v>55</v>
      </c>
      <c r="G396" s="4" t="str">
        <f t="shared" si="6"/>
        <v>551195077557</v>
      </c>
      <c r="H396" t="s">
        <v>2780</v>
      </c>
      <c r="I396" t="s">
        <v>14</v>
      </c>
      <c r="J396" t="s">
        <v>15</v>
      </c>
      <c r="K396" t="s">
        <v>16</v>
      </c>
      <c r="L396" t="s">
        <v>2606</v>
      </c>
      <c r="M396" t="s">
        <v>2607</v>
      </c>
      <c r="N396" t="s">
        <v>2608</v>
      </c>
    </row>
    <row r="397" spans="1:14">
      <c r="A397" t="s">
        <v>1985</v>
      </c>
      <c r="B397" t="s">
        <v>1921</v>
      </c>
      <c r="C397" t="s">
        <v>1986</v>
      </c>
      <c r="D397" t="s">
        <v>1987</v>
      </c>
      <c r="E397">
        <v>11998206368</v>
      </c>
      <c r="F397" s="4">
        <v>55</v>
      </c>
      <c r="G397" s="4" t="str">
        <f t="shared" si="6"/>
        <v>5511998206368</v>
      </c>
      <c r="H397" t="s">
        <v>2780</v>
      </c>
      <c r="I397" t="s">
        <v>14</v>
      </c>
      <c r="J397" t="s">
        <v>15</v>
      </c>
      <c r="K397" t="s">
        <v>16</v>
      </c>
      <c r="L397" t="s">
        <v>2609</v>
      </c>
      <c r="M397" t="s">
        <v>2610</v>
      </c>
      <c r="N397" t="s">
        <v>2611</v>
      </c>
    </row>
    <row r="398" spans="1:14">
      <c r="A398" t="s">
        <v>1988</v>
      </c>
      <c r="B398" t="s">
        <v>1921</v>
      </c>
      <c r="C398" t="s">
        <v>1989</v>
      </c>
      <c r="D398" t="s">
        <v>1990</v>
      </c>
      <c r="F398" s="4">
        <v>55</v>
      </c>
      <c r="G398" s="4" t="str">
        <f t="shared" si="6"/>
        <v>55</v>
      </c>
      <c r="H398" t="s">
        <v>2779</v>
      </c>
      <c r="I398" t="s">
        <v>14</v>
      </c>
      <c r="J398" t="s">
        <v>15</v>
      </c>
      <c r="K398" t="s">
        <v>16</v>
      </c>
      <c r="L398" t="s">
        <v>2612</v>
      </c>
      <c r="M398" t="s">
        <v>2613</v>
      </c>
      <c r="N398" t="s">
        <v>2614</v>
      </c>
    </row>
    <row r="399" spans="1:14">
      <c r="A399" t="s">
        <v>1991</v>
      </c>
      <c r="B399" t="s">
        <v>1921</v>
      </c>
      <c r="C399" t="s">
        <v>827</v>
      </c>
      <c r="D399" t="s">
        <v>1992</v>
      </c>
      <c r="F399" s="4">
        <v>55</v>
      </c>
      <c r="G399" s="4" t="str">
        <f t="shared" si="6"/>
        <v>55</v>
      </c>
      <c r="H399" t="s">
        <v>2780</v>
      </c>
      <c r="I399" t="s">
        <v>14</v>
      </c>
      <c r="J399" t="s">
        <v>15</v>
      </c>
      <c r="K399" t="s">
        <v>16</v>
      </c>
      <c r="L399" t="s">
        <v>829</v>
      </c>
      <c r="M399" t="s">
        <v>2615</v>
      </c>
      <c r="N399" t="s">
        <v>2616</v>
      </c>
    </row>
    <row r="400" spans="1:14">
      <c r="A400" t="s">
        <v>1993</v>
      </c>
      <c r="B400" t="s">
        <v>1921</v>
      </c>
      <c r="C400" t="s">
        <v>1994</v>
      </c>
      <c r="D400" t="s">
        <v>1995</v>
      </c>
      <c r="F400" s="4">
        <v>55</v>
      </c>
      <c r="G400" s="4" t="str">
        <f t="shared" si="6"/>
        <v>55</v>
      </c>
      <c r="H400" t="s">
        <v>2781</v>
      </c>
      <c r="I400" t="s">
        <v>14</v>
      </c>
      <c r="J400" t="s">
        <v>15</v>
      </c>
      <c r="K400" t="s">
        <v>16</v>
      </c>
      <c r="L400" t="s">
        <v>2617</v>
      </c>
      <c r="M400" t="s">
        <v>405</v>
      </c>
      <c r="N400" t="s">
        <v>405</v>
      </c>
    </row>
    <row r="401" spans="1:14">
      <c r="A401" t="s">
        <v>1996</v>
      </c>
      <c r="B401" t="s">
        <v>1921</v>
      </c>
      <c r="C401" t="s">
        <v>1997</v>
      </c>
      <c r="D401" t="s">
        <v>1998</v>
      </c>
      <c r="E401">
        <v>11962989643</v>
      </c>
      <c r="F401" s="4">
        <v>55</v>
      </c>
      <c r="G401" s="4" t="str">
        <f t="shared" si="6"/>
        <v>5511962989643</v>
      </c>
      <c r="H401" t="s">
        <v>2789</v>
      </c>
      <c r="I401" t="s">
        <v>14</v>
      </c>
      <c r="J401" t="s">
        <v>15</v>
      </c>
      <c r="K401" t="s">
        <v>16</v>
      </c>
      <c r="L401" t="s">
        <v>2618</v>
      </c>
      <c r="M401" t="s">
        <v>2619</v>
      </c>
      <c r="N401" t="s">
        <v>2620</v>
      </c>
    </row>
    <row r="402" spans="1:14">
      <c r="A402" t="s">
        <v>1999</v>
      </c>
      <c r="B402" t="s">
        <v>1921</v>
      </c>
      <c r="C402" t="s">
        <v>2000</v>
      </c>
      <c r="D402" t="s">
        <v>2001</v>
      </c>
      <c r="E402">
        <v>12991603516</v>
      </c>
      <c r="F402" s="4">
        <v>55</v>
      </c>
      <c r="G402" s="4" t="str">
        <f t="shared" si="6"/>
        <v>5512991603516</v>
      </c>
      <c r="H402" t="s">
        <v>2789</v>
      </c>
      <c r="I402" t="s">
        <v>14</v>
      </c>
      <c r="J402" t="s">
        <v>19</v>
      </c>
      <c r="K402" t="s">
        <v>16</v>
      </c>
      <c r="L402" t="s">
        <v>2621</v>
      </c>
      <c r="M402" t="s">
        <v>2622</v>
      </c>
      <c r="N402" t="s">
        <v>2623</v>
      </c>
    </row>
    <row r="403" spans="1:14">
      <c r="A403" t="s">
        <v>2002</v>
      </c>
      <c r="B403" t="s">
        <v>1921</v>
      </c>
      <c r="C403" t="s">
        <v>2003</v>
      </c>
      <c r="D403" t="s">
        <v>2004</v>
      </c>
      <c r="F403" s="4">
        <v>55</v>
      </c>
      <c r="G403" s="4" t="str">
        <f t="shared" si="6"/>
        <v>55</v>
      </c>
      <c r="H403" t="s">
        <v>2789</v>
      </c>
      <c r="I403" t="s">
        <v>14</v>
      </c>
      <c r="J403" t="s">
        <v>15</v>
      </c>
      <c r="K403" t="s">
        <v>16</v>
      </c>
      <c r="L403" t="s">
        <v>2624</v>
      </c>
      <c r="M403" t="s">
        <v>2625</v>
      </c>
      <c r="N403" t="s">
        <v>2626</v>
      </c>
    </row>
    <row r="404" spans="1:14">
      <c r="A404" t="s">
        <v>2005</v>
      </c>
      <c r="B404" t="s">
        <v>2006</v>
      </c>
      <c r="C404" t="s">
        <v>2007</v>
      </c>
      <c r="D404" t="s">
        <v>42</v>
      </c>
      <c r="E404">
        <v>11946981901</v>
      </c>
      <c r="F404" s="4">
        <v>55</v>
      </c>
      <c r="G404" s="4" t="str">
        <f t="shared" si="6"/>
        <v>5511946981901</v>
      </c>
      <c r="H404" t="s">
        <v>2789</v>
      </c>
      <c r="I404" t="s">
        <v>14</v>
      </c>
      <c r="J404" t="s">
        <v>19</v>
      </c>
      <c r="K404" t="s">
        <v>16</v>
      </c>
      <c r="L404" t="s">
        <v>2627</v>
      </c>
      <c r="M404" t="s">
        <v>2628</v>
      </c>
      <c r="N404" t="s">
        <v>2629</v>
      </c>
    </row>
    <row r="405" spans="1:14">
      <c r="A405" t="s">
        <v>2008</v>
      </c>
      <c r="B405" t="s">
        <v>2006</v>
      </c>
      <c r="C405" t="s">
        <v>2009</v>
      </c>
      <c r="D405" t="s">
        <v>2010</v>
      </c>
      <c r="E405">
        <v>12982400603</v>
      </c>
      <c r="F405" s="4">
        <v>55</v>
      </c>
      <c r="G405" s="4" t="str">
        <f t="shared" si="6"/>
        <v>5512982400603</v>
      </c>
      <c r="H405" t="s">
        <v>2780</v>
      </c>
      <c r="I405" t="s">
        <v>14</v>
      </c>
      <c r="J405" t="s">
        <v>19</v>
      </c>
      <c r="K405" t="s">
        <v>16</v>
      </c>
      <c r="L405" t="s">
        <v>2630</v>
      </c>
      <c r="M405" t="s">
        <v>2631</v>
      </c>
      <c r="N405" t="s">
        <v>2632</v>
      </c>
    </row>
    <row r="406" spans="1:14">
      <c r="A406" t="s">
        <v>2011</v>
      </c>
      <c r="B406" t="s">
        <v>2006</v>
      </c>
      <c r="C406" t="s">
        <v>2012</v>
      </c>
      <c r="D406" t="s">
        <v>2013</v>
      </c>
      <c r="E406">
        <v>31991572566</v>
      </c>
      <c r="F406" s="4">
        <v>55</v>
      </c>
      <c r="G406" s="4" t="str">
        <f t="shared" si="6"/>
        <v>5531991572566</v>
      </c>
      <c r="H406" t="s">
        <v>2780</v>
      </c>
      <c r="I406" t="s">
        <v>14</v>
      </c>
      <c r="J406" t="s">
        <v>17</v>
      </c>
      <c r="K406" t="s">
        <v>16</v>
      </c>
      <c r="L406" t="s">
        <v>2633</v>
      </c>
      <c r="M406" t="s">
        <v>2634</v>
      </c>
      <c r="N406" t="s">
        <v>2635</v>
      </c>
    </row>
    <row r="407" spans="1:14">
      <c r="A407" t="s">
        <v>2014</v>
      </c>
      <c r="B407" t="s">
        <v>2006</v>
      </c>
      <c r="C407" t="s">
        <v>2015</v>
      </c>
      <c r="D407" t="s">
        <v>26</v>
      </c>
      <c r="E407">
        <v>12981194680</v>
      </c>
      <c r="F407" s="4">
        <v>55</v>
      </c>
      <c r="G407" s="4" t="str">
        <f t="shared" si="6"/>
        <v>5512981194680</v>
      </c>
      <c r="H407" t="s">
        <v>2789</v>
      </c>
      <c r="I407" t="s">
        <v>14</v>
      </c>
      <c r="J407" t="s">
        <v>19</v>
      </c>
      <c r="K407" t="s">
        <v>16</v>
      </c>
      <c r="L407" t="s">
        <v>2636</v>
      </c>
      <c r="M407" t="s">
        <v>2637</v>
      </c>
      <c r="N407" t="s">
        <v>2638</v>
      </c>
    </row>
    <row r="408" spans="1:14">
      <c r="A408" t="s">
        <v>2016</v>
      </c>
      <c r="B408" t="s">
        <v>2006</v>
      </c>
      <c r="C408" t="s">
        <v>2017</v>
      </c>
      <c r="D408" t="s">
        <v>42</v>
      </c>
      <c r="E408">
        <v>11940294629</v>
      </c>
      <c r="F408" s="4">
        <v>55</v>
      </c>
      <c r="G408" s="4" t="str">
        <f t="shared" si="6"/>
        <v>5511940294629</v>
      </c>
      <c r="H408" t="s">
        <v>2789</v>
      </c>
      <c r="I408" t="s">
        <v>14</v>
      </c>
      <c r="J408" t="s">
        <v>19</v>
      </c>
      <c r="K408" t="s">
        <v>16</v>
      </c>
      <c r="L408" t="s">
        <v>2639</v>
      </c>
      <c r="M408" t="s">
        <v>2640</v>
      </c>
      <c r="N408" t="s">
        <v>2641</v>
      </c>
    </row>
    <row r="409" spans="1:14">
      <c r="A409" t="s">
        <v>2018</v>
      </c>
      <c r="B409" t="s">
        <v>2006</v>
      </c>
      <c r="C409" t="s">
        <v>2019</v>
      </c>
      <c r="D409" t="s">
        <v>42</v>
      </c>
      <c r="E409">
        <v>11976907460</v>
      </c>
      <c r="F409" s="4">
        <v>55</v>
      </c>
      <c r="G409" s="4" t="str">
        <f t="shared" si="6"/>
        <v>5511976907460</v>
      </c>
      <c r="H409" t="s">
        <v>2789</v>
      </c>
      <c r="I409" t="s">
        <v>14</v>
      </c>
      <c r="J409" t="s">
        <v>19</v>
      </c>
      <c r="K409" t="s">
        <v>16</v>
      </c>
      <c r="L409" t="s">
        <v>2642</v>
      </c>
      <c r="M409" t="s">
        <v>2643</v>
      </c>
      <c r="N409" t="s">
        <v>2644</v>
      </c>
    </row>
    <row r="410" spans="1:14">
      <c r="A410" t="s">
        <v>2020</v>
      </c>
      <c r="B410" t="s">
        <v>2006</v>
      </c>
      <c r="C410" t="s">
        <v>2021</v>
      </c>
      <c r="D410" t="s">
        <v>54</v>
      </c>
      <c r="E410">
        <v>11940376257</v>
      </c>
      <c r="F410" s="4">
        <v>55</v>
      </c>
      <c r="G410" s="4" t="str">
        <f t="shared" si="6"/>
        <v>5511940376257</v>
      </c>
      <c r="H410" t="s">
        <v>2781</v>
      </c>
      <c r="I410" t="s">
        <v>14</v>
      </c>
      <c r="J410" t="s">
        <v>15</v>
      </c>
      <c r="K410" t="s">
        <v>16</v>
      </c>
      <c r="L410" t="s">
        <v>2645</v>
      </c>
      <c r="M410" t="s">
        <v>405</v>
      </c>
      <c r="N410" t="s">
        <v>405</v>
      </c>
    </row>
    <row r="411" spans="1:14">
      <c r="A411" t="s">
        <v>2022</v>
      </c>
      <c r="B411" t="s">
        <v>2006</v>
      </c>
      <c r="C411" t="s">
        <v>2023</v>
      </c>
      <c r="D411" t="s">
        <v>2024</v>
      </c>
      <c r="F411" s="4">
        <v>55</v>
      </c>
      <c r="G411" s="4" t="str">
        <f t="shared" si="6"/>
        <v>55</v>
      </c>
      <c r="H411" t="s">
        <v>2780</v>
      </c>
      <c r="I411" t="s">
        <v>14</v>
      </c>
      <c r="J411" t="s">
        <v>15</v>
      </c>
      <c r="K411" t="s">
        <v>16</v>
      </c>
      <c r="L411" t="s">
        <v>2646</v>
      </c>
      <c r="M411" t="s">
        <v>2647</v>
      </c>
      <c r="N411" t="s">
        <v>2648</v>
      </c>
    </row>
    <row r="412" spans="1:14">
      <c r="A412" t="s">
        <v>2025</v>
      </c>
      <c r="B412" t="s">
        <v>2006</v>
      </c>
      <c r="C412" t="s">
        <v>2026</v>
      </c>
      <c r="D412" t="s">
        <v>2027</v>
      </c>
      <c r="E412">
        <v>11983263998</v>
      </c>
      <c r="F412" s="4">
        <v>55</v>
      </c>
      <c r="G412" s="4" t="str">
        <f t="shared" si="6"/>
        <v>5511983263998</v>
      </c>
      <c r="H412" t="s">
        <v>2781</v>
      </c>
      <c r="I412" t="s">
        <v>14</v>
      </c>
      <c r="J412" t="s">
        <v>19</v>
      </c>
      <c r="K412" t="s">
        <v>16</v>
      </c>
      <c r="L412" t="s">
        <v>2649</v>
      </c>
      <c r="M412" t="s">
        <v>405</v>
      </c>
      <c r="N412" t="s">
        <v>405</v>
      </c>
    </row>
    <row r="413" spans="1:14">
      <c r="A413" t="s">
        <v>2028</v>
      </c>
      <c r="B413" t="s">
        <v>2006</v>
      </c>
      <c r="C413" t="s">
        <v>2029</v>
      </c>
      <c r="D413" t="s">
        <v>2030</v>
      </c>
      <c r="E413">
        <v>12996459991</v>
      </c>
      <c r="F413" s="4">
        <v>55</v>
      </c>
      <c r="G413" s="4" t="str">
        <f t="shared" si="6"/>
        <v>5512996459991</v>
      </c>
      <c r="H413" t="s">
        <v>2789</v>
      </c>
      <c r="I413" t="s">
        <v>14</v>
      </c>
      <c r="J413" t="s">
        <v>19</v>
      </c>
      <c r="K413" t="s">
        <v>16</v>
      </c>
      <c r="L413" t="s">
        <v>2650</v>
      </c>
      <c r="M413" t="s">
        <v>2651</v>
      </c>
      <c r="N413" t="s">
        <v>2652</v>
      </c>
    </row>
    <row r="414" spans="1:14">
      <c r="A414" t="s">
        <v>2031</v>
      </c>
      <c r="B414" t="s">
        <v>2006</v>
      </c>
      <c r="C414" t="s">
        <v>2032</v>
      </c>
      <c r="D414" t="s">
        <v>2033</v>
      </c>
      <c r="E414">
        <v>31994355975</v>
      </c>
      <c r="F414" s="4">
        <v>55</v>
      </c>
      <c r="G414" s="4" t="str">
        <f t="shared" si="6"/>
        <v>5531994355975</v>
      </c>
      <c r="H414" t="s">
        <v>2781</v>
      </c>
      <c r="I414" t="s">
        <v>14</v>
      </c>
      <c r="J414" t="s">
        <v>17</v>
      </c>
      <c r="K414" t="s">
        <v>16</v>
      </c>
      <c r="L414" t="s">
        <v>2653</v>
      </c>
      <c r="M414" t="s">
        <v>405</v>
      </c>
      <c r="N414" t="s">
        <v>405</v>
      </c>
    </row>
    <row r="415" spans="1:14">
      <c r="A415" t="s">
        <v>2034</v>
      </c>
      <c r="B415" t="s">
        <v>2006</v>
      </c>
      <c r="C415" t="s">
        <v>2035</v>
      </c>
      <c r="D415" t="s">
        <v>2036</v>
      </c>
      <c r="E415">
        <v>12988731937</v>
      </c>
      <c r="F415" s="4">
        <v>55</v>
      </c>
      <c r="G415" s="4" t="str">
        <f t="shared" si="6"/>
        <v>5512988731937</v>
      </c>
      <c r="H415" t="s">
        <v>2780</v>
      </c>
      <c r="I415" t="s">
        <v>14</v>
      </c>
      <c r="J415" t="s">
        <v>19</v>
      </c>
      <c r="K415" t="s">
        <v>16</v>
      </c>
      <c r="L415" t="s">
        <v>2654</v>
      </c>
      <c r="M415" t="s">
        <v>2655</v>
      </c>
      <c r="N415" t="s">
        <v>2656</v>
      </c>
    </row>
    <row r="416" spans="1:14">
      <c r="A416" t="s">
        <v>2037</v>
      </c>
      <c r="B416" t="s">
        <v>2006</v>
      </c>
      <c r="C416" t="s">
        <v>2038</v>
      </c>
      <c r="D416" t="s">
        <v>2039</v>
      </c>
      <c r="E416">
        <v>12991000489</v>
      </c>
      <c r="F416" s="4">
        <v>55</v>
      </c>
      <c r="G416" s="4" t="str">
        <f t="shared" si="6"/>
        <v>5512991000489</v>
      </c>
      <c r="H416" t="s">
        <v>2780</v>
      </c>
      <c r="I416" t="s">
        <v>14</v>
      </c>
      <c r="J416" t="s">
        <v>19</v>
      </c>
      <c r="K416" t="s">
        <v>16</v>
      </c>
      <c r="L416" t="s">
        <v>2657</v>
      </c>
      <c r="M416" t="s">
        <v>2658</v>
      </c>
      <c r="N416" t="s">
        <v>2659</v>
      </c>
    </row>
    <row r="417" spans="1:14">
      <c r="A417" t="s">
        <v>2040</v>
      </c>
      <c r="B417" t="s">
        <v>2006</v>
      </c>
      <c r="C417" t="s">
        <v>2041</v>
      </c>
      <c r="D417" t="s">
        <v>2042</v>
      </c>
      <c r="E417">
        <v>12996858442</v>
      </c>
      <c r="F417" s="4">
        <v>55</v>
      </c>
      <c r="G417" s="4" t="str">
        <f t="shared" si="6"/>
        <v>5512996858442</v>
      </c>
      <c r="H417" t="s">
        <v>2789</v>
      </c>
      <c r="I417" t="s">
        <v>14</v>
      </c>
      <c r="J417" t="s">
        <v>19</v>
      </c>
      <c r="K417" t="s">
        <v>16</v>
      </c>
      <c r="L417" t="s">
        <v>2660</v>
      </c>
      <c r="M417" t="s">
        <v>2661</v>
      </c>
      <c r="N417" t="s">
        <v>2662</v>
      </c>
    </row>
    <row r="418" spans="1:14">
      <c r="A418" t="s">
        <v>2043</v>
      </c>
      <c r="B418" t="s">
        <v>2006</v>
      </c>
      <c r="C418" t="s">
        <v>407</v>
      </c>
      <c r="D418" t="s">
        <v>2044</v>
      </c>
      <c r="F418" s="4">
        <v>55</v>
      </c>
      <c r="G418" s="4" t="str">
        <f t="shared" si="6"/>
        <v>55</v>
      </c>
      <c r="H418" t="s">
        <v>2789</v>
      </c>
      <c r="I418" t="s">
        <v>14</v>
      </c>
      <c r="J418" t="s">
        <v>15</v>
      </c>
      <c r="K418" t="s">
        <v>16</v>
      </c>
      <c r="L418" t="s">
        <v>408</v>
      </c>
      <c r="M418" t="s">
        <v>2663</v>
      </c>
      <c r="N418" t="s">
        <v>2664</v>
      </c>
    </row>
    <row r="419" spans="1:14">
      <c r="A419" t="s">
        <v>2045</v>
      </c>
      <c r="B419" t="s">
        <v>2006</v>
      </c>
      <c r="C419" t="s">
        <v>2046</v>
      </c>
      <c r="D419" t="s">
        <v>2047</v>
      </c>
      <c r="E419">
        <v>11974406505</v>
      </c>
      <c r="F419" s="4">
        <v>55</v>
      </c>
      <c r="G419" s="4" t="str">
        <f t="shared" si="6"/>
        <v>5511974406505</v>
      </c>
      <c r="H419" t="s">
        <v>2780</v>
      </c>
      <c r="I419" t="s">
        <v>14</v>
      </c>
      <c r="J419" t="s">
        <v>37</v>
      </c>
      <c r="K419" t="s">
        <v>16</v>
      </c>
      <c r="L419" t="s">
        <v>2665</v>
      </c>
      <c r="M419" t="s">
        <v>2666</v>
      </c>
      <c r="N419" t="s">
        <v>2667</v>
      </c>
    </row>
    <row r="420" spans="1:14">
      <c r="A420" t="s">
        <v>2048</v>
      </c>
      <c r="B420" t="s">
        <v>2006</v>
      </c>
      <c r="C420" t="s">
        <v>2049</v>
      </c>
      <c r="D420" t="s">
        <v>2050</v>
      </c>
      <c r="E420">
        <v>12997957313</v>
      </c>
      <c r="F420" s="4">
        <v>55</v>
      </c>
      <c r="G420" s="4" t="str">
        <f t="shared" si="6"/>
        <v>5512997957313</v>
      </c>
      <c r="H420" t="s">
        <v>2789</v>
      </c>
      <c r="I420" t="s">
        <v>14</v>
      </c>
      <c r="J420" t="s">
        <v>19</v>
      </c>
      <c r="K420" t="s">
        <v>16</v>
      </c>
      <c r="L420" t="s">
        <v>2668</v>
      </c>
      <c r="M420" t="s">
        <v>2669</v>
      </c>
      <c r="N420" t="s">
        <v>2670</v>
      </c>
    </row>
    <row r="421" spans="1:14">
      <c r="A421" t="s">
        <v>2051</v>
      </c>
      <c r="B421" t="s">
        <v>2006</v>
      </c>
      <c r="C421" t="s">
        <v>2052</v>
      </c>
      <c r="D421" t="s">
        <v>2053</v>
      </c>
      <c r="E421">
        <v>12981485077</v>
      </c>
      <c r="F421" s="4">
        <v>55</v>
      </c>
      <c r="G421" s="4" t="str">
        <f t="shared" si="6"/>
        <v>5512981485077</v>
      </c>
      <c r="H421" t="s">
        <v>2789</v>
      </c>
      <c r="I421" t="s">
        <v>14</v>
      </c>
      <c r="J421" t="s">
        <v>19</v>
      </c>
      <c r="K421" t="s">
        <v>16</v>
      </c>
      <c r="L421" t="s">
        <v>2671</v>
      </c>
      <c r="M421" t="s">
        <v>2672</v>
      </c>
      <c r="N421" t="s">
        <v>2673</v>
      </c>
    </row>
    <row r="422" spans="1:14">
      <c r="A422" t="s">
        <v>2054</v>
      </c>
      <c r="B422" t="s">
        <v>2006</v>
      </c>
      <c r="C422" t="s">
        <v>2055</v>
      </c>
      <c r="D422" t="s">
        <v>2044</v>
      </c>
      <c r="F422" s="4">
        <v>55</v>
      </c>
      <c r="G422" s="4" t="str">
        <f t="shared" si="6"/>
        <v>55</v>
      </c>
      <c r="H422" t="s">
        <v>2781</v>
      </c>
      <c r="I422" t="s">
        <v>14</v>
      </c>
      <c r="J422" t="s">
        <v>15</v>
      </c>
      <c r="K422" t="s">
        <v>16</v>
      </c>
      <c r="L422" t="s">
        <v>2674</v>
      </c>
      <c r="M422" t="s">
        <v>405</v>
      </c>
      <c r="N422" t="s">
        <v>405</v>
      </c>
    </row>
    <row r="423" spans="1:14">
      <c r="A423" t="s">
        <v>2056</v>
      </c>
      <c r="B423" t="s">
        <v>2006</v>
      </c>
      <c r="C423" t="s">
        <v>2057</v>
      </c>
      <c r="D423" t="s">
        <v>2058</v>
      </c>
      <c r="E423">
        <v>12991461362</v>
      </c>
      <c r="F423" s="4">
        <v>55</v>
      </c>
      <c r="G423" s="4" t="str">
        <f t="shared" si="6"/>
        <v>5512991461362</v>
      </c>
      <c r="H423" t="s">
        <v>2789</v>
      </c>
      <c r="I423" t="s">
        <v>14</v>
      </c>
      <c r="J423" t="s">
        <v>19</v>
      </c>
      <c r="K423" t="s">
        <v>16</v>
      </c>
      <c r="L423" t="s">
        <v>2675</v>
      </c>
      <c r="M423" t="s">
        <v>2676</v>
      </c>
      <c r="N423" t="s">
        <v>2677</v>
      </c>
    </row>
    <row r="424" spans="1:14">
      <c r="A424" t="s">
        <v>2059</v>
      </c>
      <c r="B424" t="s">
        <v>2006</v>
      </c>
      <c r="C424" t="s">
        <v>2060</v>
      </c>
      <c r="D424" t="s">
        <v>2061</v>
      </c>
      <c r="F424" s="4">
        <v>55</v>
      </c>
      <c r="G424" s="4" t="str">
        <f t="shared" si="6"/>
        <v>55</v>
      </c>
      <c r="H424" t="s">
        <v>2794</v>
      </c>
      <c r="I424" t="s">
        <v>14</v>
      </c>
      <c r="J424" t="s">
        <v>18</v>
      </c>
      <c r="K424" t="s">
        <v>16</v>
      </c>
      <c r="L424" t="s">
        <v>2678</v>
      </c>
      <c r="M424" t="s">
        <v>2679</v>
      </c>
      <c r="N424" t="s">
        <v>2680</v>
      </c>
    </row>
    <row r="425" spans="1:14">
      <c r="A425" t="s">
        <v>2062</v>
      </c>
      <c r="B425" t="s">
        <v>2006</v>
      </c>
      <c r="C425" t="s">
        <v>2063</v>
      </c>
      <c r="D425" t="s">
        <v>2064</v>
      </c>
      <c r="E425">
        <v>12991053924</v>
      </c>
      <c r="F425" s="4">
        <v>55</v>
      </c>
      <c r="G425" s="4" t="str">
        <f t="shared" si="6"/>
        <v>5512991053924</v>
      </c>
      <c r="H425" t="s">
        <v>2780</v>
      </c>
      <c r="I425" t="s">
        <v>14</v>
      </c>
      <c r="J425" t="s">
        <v>19</v>
      </c>
      <c r="K425" t="s">
        <v>16</v>
      </c>
      <c r="L425" t="s">
        <v>2681</v>
      </c>
      <c r="M425" t="s">
        <v>2682</v>
      </c>
      <c r="N425" t="s">
        <v>2683</v>
      </c>
    </row>
    <row r="426" spans="1:14">
      <c r="A426" t="s">
        <v>2065</v>
      </c>
      <c r="B426" t="s">
        <v>2006</v>
      </c>
      <c r="C426" t="s">
        <v>2066</v>
      </c>
      <c r="D426" t="s">
        <v>2067</v>
      </c>
      <c r="F426" s="4">
        <v>55</v>
      </c>
      <c r="G426" s="4" t="str">
        <f t="shared" si="6"/>
        <v>55</v>
      </c>
      <c r="H426" t="s">
        <v>2780</v>
      </c>
      <c r="I426" t="s">
        <v>14</v>
      </c>
      <c r="J426" t="s">
        <v>18</v>
      </c>
      <c r="K426" t="s">
        <v>16</v>
      </c>
      <c r="L426" t="s">
        <v>2684</v>
      </c>
      <c r="M426" t="s">
        <v>2685</v>
      </c>
      <c r="N426" t="s">
        <v>2686</v>
      </c>
    </row>
    <row r="427" spans="1:14">
      <c r="A427" t="s">
        <v>2068</v>
      </c>
      <c r="B427" t="s">
        <v>2006</v>
      </c>
      <c r="C427" t="s">
        <v>2069</v>
      </c>
      <c r="D427" t="s">
        <v>2070</v>
      </c>
      <c r="F427" s="4">
        <v>55</v>
      </c>
      <c r="G427" s="4" t="str">
        <f t="shared" si="6"/>
        <v>55</v>
      </c>
      <c r="H427" t="s">
        <v>2789</v>
      </c>
      <c r="I427" t="s">
        <v>14</v>
      </c>
      <c r="J427" t="s">
        <v>18</v>
      </c>
      <c r="K427" t="s">
        <v>16</v>
      </c>
      <c r="L427" t="s">
        <v>2687</v>
      </c>
      <c r="M427" t="s">
        <v>2688</v>
      </c>
      <c r="N427" t="s">
        <v>2689</v>
      </c>
    </row>
    <row r="428" spans="1:14">
      <c r="A428" t="s">
        <v>2071</v>
      </c>
      <c r="B428" t="s">
        <v>2006</v>
      </c>
      <c r="C428" t="s">
        <v>2072</v>
      </c>
      <c r="D428" t="s">
        <v>2073</v>
      </c>
      <c r="F428" s="4">
        <v>55</v>
      </c>
      <c r="G428" s="4" t="str">
        <f t="shared" si="6"/>
        <v>55</v>
      </c>
      <c r="H428" t="s">
        <v>2781</v>
      </c>
      <c r="I428" t="s">
        <v>14</v>
      </c>
      <c r="J428" t="s">
        <v>18</v>
      </c>
      <c r="K428" t="s">
        <v>16</v>
      </c>
      <c r="L428" t="s">
        <v>2690</v>
      </c>
      <c r="M428" t="s">
        <v>405</v>
      </c>
      <c r="N428" t="s">
        <v>405</v>
      </c>
    </row>
    <row r="429" spans="1:14">
      <c r="A429" t="s">
        <v>2074</v>
      </c>
      <c r="B429" t="s">
        <v>2006</v>
      </c>
      <c r="C429" t="s">
        <v>2075</v>
      </c>
      <c r="D429" t="s">
        <v>2076</v>
      </c>
      <c r="E429">
        <v>31991842447</v>
      </c>
      <c r="F429" s="4">
        <v>55</v>
      </c>
      <c r="G429" s="4" t="str">
        <f t="shared" si="6"/>
        <v>5531991842447</v>
      </c>
      <c r="H429" t="s">
        <v>2789</v>
      </c>
      <c r="I429" t="s">
        <v>14</v>
      </c>
      <c r="J429" t="s">
        <v>17</v>
      </c>
      <c r="K429" t="s">
        <v>16</v>
      </c>
      <c r="L429" t="s">
        <v>2691</v>
      </c>
      <c r="M429" t="s">
        <v>2692</v>
      </c>
      <c r="N429" t="s">
        <v>2693</v>
      </c>
    </row>
    <row r="430" spans="1:14">
      <c r="A430" t="s">
        <v>2077</v>
      </c>
      <c r="B430" t="s">
        <v>2078</v>
      </c>
      <c r="C430" t="s">
        <v>1755</v>
      </c>
      <c r="D430" t="s">
        <v>1756</v>
      </c>
      <c r="E430">
        <v>11999353415</v>
      </c>
      <c r="F430" s="4">
        <v>55</v>
      </c>
      <c r="G430" s="4" t="str">
        <f t="shared" si="6"/>
        <v>5511999353415</v>
      </c>
      <c r="H430" t="s">
        <v>2798</v>
      </c>
      <c r="I430" t="s">
        <v>14</v>
      </c>
      <c r="J430" t="s">
        <v>18</v>
      </c>
      <c r="K430" t="s">
        <v>16</v>
      </c>
      <c r="L430" t="s">
        <v>2422</v>
      </c>
      <c r="M430" t="s">
        <v>2423</v>
      </c>
      <c r="N430" t="s">
        <v>2424</v>
      </c>
    </row>
    <row r="431" spans="1:14">
      <c r="A431" t="s">
        <v>2079</v>
      </c>
      <c r="B431" t="s">
        <v>2078</v>
      </c>
      <c r="C431" t="s">
        <v>2080</v>
      </c>
      <c r="D431" t="s">
        <v>2081</v>
      </c>
      <c r="E431">
        <v>1144614176</v>
      </c>
      <c r="F431" s="4">
        <v>55</v>
      </c>
      <c r="G431" s="4" t="str">
        <f t="shared" si="6"/>
        <v>551144614176</v>
      </c>
      <c r="H431" t="s">
        <v>2787</v>
      </c>
      <c r="I431" t="s">
        <v>14</v>
      </c>
      <c r="J431" t="s">
        <v>1229</v>
      </c>
      <c r="K431" t="s">
        <v>16</v>
      </c>
      <c r="L431" t="s">
        <v>2694</v>
      </c>
      <c r="M431" t="s">
        <v>2695</v>
      </c>
      <c r="N431" t="s">
        <v>2696</v>
      </c>
    </row>
    <row r="432" spans="1:14">
      <c r="A432" t="s">
        <v>2082</v>
      </c>
      <c r="B432" t="s">
        <v>2078</v>
      </c>
      <c r="C432" t="s">
        <v>2083</v>
      </c>
      <c r="D432" t="s">
        <v>2084</v>
      </c>
      <c r="E432">
        <v>11999571753</v>
      </c>
      <c r="F432" s="4">
        <v>55</v>
      </c>
      <c r="G432" s="4" t="str">
        <f t="shared" si="6"/>
        <v>5511999571753</v>
      </c>
      <c r="H432" t="s">
        <v>13</v>
      </c>
      <c r="I432" t="s">
        <v>14</v>
      </c>
      <c r="J432" t="s">
        <v>398</v>
      </c>
      <c r="K432" t="s">
        <v>16</v>
      </c>
      <c r="L432" t="s">
        <v>2697</v>
      </c>
      <c r="M432" t="s">
        <v>2698</v>
      </c>
      <c r="N432" t="s">
        <v>2699</v>
      </c>
    </row>
    <row r="433" spans="1:14">
      <c r="A433" t="s">
        <v>2085</v>
      </c>
      <c r="B433" t="s">
        <v>2078</v>
      </c>
      <c r="C433" t="s">
        <v>2086</v>
      </c>
      <c r="D433" t="s">
        <v>650</v>
      </c>
      <c r="F433" s="4">
        <v>55</v>
      </c>
      <c r="G433" s="4" t="str">
        <f t="shared" si="6"/>
        <v>55</v>
      </c>
      <c r="H433" t="s">
        <v>2790</v>
      </c>
      <c r="I433" t="s">
        <v>14</v>
      </c>
      <c r="J433" t="s">
        <v>15</v>
      </c>
      <c r="K433" t="s">
        <v>16</v>
      </c>
      <c r="L433" t="s">
        <v>2700</v>
      </c>
      <c r="M433" t="s">
        <v>2701</v>
      </c>
      <c r="N433" t="s">
        <v>2702</v>
      </c>
    </row>
    <row r="434" spans="1:14">
      <c r="A434" t="s">
        <v>2087</v>
      </c>
      <c r="B434" t="s">
        <v>2078</v>
      </c>
      <c r="C434" t="s">
        <v>1613</v>
      </c>
      <c r="D434" t="s">
        <v>2088</v>
      </c>
      <c r="E434">
        <v>31997905737</v>
      </c>
      <c r="F434" s="4">
        <v>55</v>
      </c>
      <c r="G434" s="4" t="str">
        <f t="shared" si="6"/>
        <v>5531997905737</v>
      </c>
      <c r="H434" t="s">
        <v>2789</v>
      </c>
      <c r="I434" t="s">
        <v>14</v>
      </c>
      <c r="J434" t="s">
        <v>17</v>
      </c>
      <c r="K434" t="s">
        <v>16</v>
      </c>
      <c r="L434" t="s">
        <v>2298</v>
      </c>
      <c r="M434" t="s">
        <v>2703</v>
      </c>
      <c r="N434" t="s">
        <v>2704</v>
      </c>
    </row>
    <row r="435" spans="1:14">
      <c r="A435" t="s">
        <v>2089</v>
      </c>
      <c r="B435" t="s">
        <v>2078</v>
      </c>
      <c r="C435" t="s">
        <v>1615</v>
      </c>
      <c r="D435" t="s">
        <v>2088</v>
      </c>
      <c r="E435">
        <v>31998449020</v>
      </c>
      <c r="F435" s="4">
        <v>55</v>
      </c>
      <c r="G435" s="4" t="str">
        <f t="shared" si="6"/>
        <v>5531998449020</v>
      </c>
      <c r="H435" t="s">
        <v>2789</v>
      </c>
      <c r="I435" t="s">
        <v>14</v>
      </c>
      <c r="J435" t="s">
        <v>17</v>
      </c>
      <c r="K435" t="s">
        <v>16</v>
      </c>
      <c r="L435" t="s">
        <v>2299</v>
      </c>
      <c r="M435" t="s">
        <v>2705</v>
      </c>
      <c r="N435" t="s">
        <v>2706</v>
      </c>
    </row>
    <row r="436" spans="1:14">
      <c r="A436" t="s">
        <v>2090</v>
      </c>
      <c r="B436" t="s">
        <v>2078</v>
      </c>
      <c r="C436" t="s">
        <v>2091</v>
      </c>
      <c r="D436" t="s">
        <v>2092</v>
      </c>
      <c r="E436">
        <v>12991367959</v>
      </c>
      <c r="F436" s="4">
        <v>55</v>
      </c>
      <c r="G436" s="4" t="str">
        <f t="shared" si="6"/>
        <v>5512991367959</v>
      </c>
      <c r="H436" t="s">
        <v>2780</v>
      </c>
      <c r="I436" t="s">
        <v>14</v>
      </c>
      <c r="J436" t="s">
        <v>19</v>
      </c>
      <c r="K436" t="s">
        <v>16</v>
      </c>
      <c r="L436" t="s">
        <v>2707</v>
      </c>
      <c r="M436" t="s">
        <v>2708</v>
      </c>
      <c r="N436" t="s">
        <v>2709</v>
      </c>
    </row>
    <row r="437" spans="1:14">
      <c r="A437" t="s">
        <v>2093</v>
      </c>
      <c r="B437" t="s">
        <v>2078</v>
      </c>
      <c r="C437" t="s">
        <v>2094</v>
      </c>
      <c r="D437" t="s">
        <v>2095</v>
      </c>
      <c r="E437">
        <v>12981416805</v>
      </c>
      <c r="F437" s="4">
        <v>55</v>
      </c>
      <c r="G437" s="4" t="str">
        <f t="shared" si="6"/>
        <v>5512981416805</v>
      </c>
      <c r="H437" t="s">
        <v>2784</v>
      </c>
      <c r="I437" t="s">
        <v>14</v>
      </c>
      <c r="J437" t="s">
        <v>19</v>
      </c>
      <c r="K437" t="s">
        <v>16</v>
      </c>
      <c r="L437" t="s">
        <v>2710</v>
      </c>
      <c r="M437" t="s">
        <v>405</v>
      </c>
      <c r="N437" t="s">
        <v>405</v>
      </c>
    </row>
    <row r="438" spans="1:14">
      <c r="A438" t="s">
        <v>2096</v>
      </c>
      <c r="B438" t="s">
        <v>2078</v>
      </c>
      <c r="C438" t="s">
        <v>2097</v>
      </c>
      <c r="D438" t="s">
        <v>2098</v>
      </c>
      <c r="E438">
        <v>12982594405</v>
      </c>
      <c r="F438" s="4">
        <v>55</v>
      </c>
      <c r="G438" s="4" t="str">
        <f t="shared" si="6"/>
        <v>5512982594405</v>
      </c>
      <c r="H438" t="s">
        <v>2789</v>
      </c>
      <c r="I438" t="s">
        <v>14</v>
      </c>
      <c r="J438" t="s">
        <v>19</v>
      </c>
      <c r="K438" t="s">
        <v>16</v>
      </c>
      <c r="L438" t="s">
        <v>2711</v>
      </c>
      <c r="M438" t="s">
        <v>2712</v>
      </c>
      <c r="N438" t="s">
        <v>2713</v>
      </c>
    </row>
    <row r="439" spans="1:14">
      <c r="A439" t="s">
        <v>2099</v>
      </c>
      <c r="B439" t="s">
        <v>2078</v>
      </c>
      <c r="C439" t="s">
        <v>2100</v>
      </c>
      <c r="D439" t="s">
        <v>2101</v>
      </c>
      <c r="E439">
        <v>12981133910</v>
      </c>
      <c r="F439" s="4">
        <v>55</v>
      </c>
      <c r="G439" s="4" t="str">
        <f t="shared" si="6"/>
        <v>5512981133910</v>
      </c>
      <c r="H439" t="s">
        <v>2789</v>
      </c>
      <c r="I439" t="s">
        <v>14</v>
      </c>
      <c r="J439" t="s">
        <v>19</v>
      </c>
      <c r="K439" t="s">
        <v>16</v>
      </c>
      <c r="L439" t="s">
        <v>2714</v>
      </c>
      <c r="M439" t="s">
        <v>2715</v>
      </c>
      <c r="N439" t="s">
        <v>2716</v>
      </c>
    </row>
    <row r="440" spans="1:14">
      <c r="A440" t="s">
        <v>2102</v>
      </c>
      <c r="B440" t="s">
        <v>2078</v>
      </c>
      <c r="C440" t="s">
        <v>2103</v>
      </c>
      <c r="D440" t="s">
        <v>2104</v>
      </c>
      <c r="E440">
        <v>31995390627</v>
      </c>
      <c r="F440" s="4">
        <v>55</v>
      </c>
      <c r="G440" s="4" t="str">
        <f t="shared" si="6"/>
        <v>5531995390627</v>
      </c>
      <c r="H440" t="s">
        <v>2789</v>
      </c>
      <c r="I440" t="s">
        <v>14</v>
      </c>
      <c r="J440" t="s">
        <v>17</v>
      </c>
      <c r="K440" t="s">
        <v>16</v>
      </c>
      <c r="L440" t="s">
        <v>2717</v>
      </c>
      <c r="M440" t="s">
        <v>2718</v>
      </c>
      <c r="N440" t="s">
        <v>2719</v>
      </c>
    </row>
    <row r="441" spans="1:14">
      <c r="A441" t="s">
        <v>2105</v>
      </c>
      <c r="B441" t="s">
        <v>2078</v>
      </c>
      <c r="C441" t="s">
        <v>2106</v>
      </c>
      <c r="D441" t="s">
        <v>2107</v>
      </c>
      <c r="E441">
        <v>51993925401</v>
      </c>
      <c r="F441" s="4">
        <v>55</v>
      </c>
      <c r="G441" s="4" t="str">
        <f t="shared" si="6"/>
        <v>5551993925401</v>
      </c>
      <c r="H441" t="s">
        <v>2781</v>
      </c>
      <c r="I441" t="s">
        <v>14</v>
      </c>
      <c r="J441" t="s">
        <v>17</v>
      </c>
      <c r="K441" t="s">
        <v>16</v>
      </c>
      <c r="L441" t="s">
        <v>2720</v>
      </c>
      <c r="M441" t="s">
        <v>405</v>
      </c>
      <c r="N441" t="s">
        <v>405</v>
      </c>
    </row>
    <row r="442" spans="1:14">
      <c r="A442" t="s">
        <v>2108</v>
      </c>
      <c r="B442" t="s">
        <v>2078</v>
      </c>
      <c r="C442" t="s">
        <v>2109</v>
      </c>
      <c r="D442" t="s">
        <v>1595</v>
      </c>
      <c r="E442">
        <v>11942823578</v>
      </c>
      <c r="F442" s="4">
        <v>55</v>
      </c>
      <c r="G442" s="4" t="str">
        <f t="shared" si="6"/>
        <v>5511942823578</v>
      </c>
      <c r="H442" t="s">
        <v>2789</v>
      </c>
      <c r="I442" t="s">
        <v>14</v>
      </c>
      <c r="J442" t="s">
        <v>19</v>
      </c>
      <c r="K442" t="s">
        <v>16</v>
      </c>
      <c r="L442" t="s">
        <v>2721</v>
      </c>
      <c r="M442" t="s">
        <v>2722</v>
      </c>
      <c r="N442" t="s">
        <v>2723</v>
      </c>
    </row>
    <row r="443" spans="1:14">
      <c r="A443" t="s">
        <v>2110</v>
      </c>
      <c r="B443" t="s">
        <v>2078</v>
      </c>
      <c r="C443" t="s">
        <v>362</v>
      </c>
      <c r="D443" t="s">
        <v>2111</v>
      </c>
      <c r="E443">
        <v>12996007575</v>
      </c>
      <c r="F443" s="4">
        <v>55</v>
      </c>
      <c r="G443" s="4" t="str">
        <f t="shared" si="6"/>
        <v>5512996007575</v>
      </c>
      <c r="H443" t="s">
        <v>2781</v>
      </c>
      <c r="I443" t="s">
        <v>14</v>
      </c>
      <c r="J443" t="s">
        <v>19</v>
      </c>
      <c r="K443" t="s">
        <v>16</v>
      </c>
      <c r="L443" t="s">
        <v>363</v>
      </c>
      <c r="M443" t="s">
        <v>405</v>
      </c>
      <c r="N443" t="s">
        <v>405</v>
      </c>
    </row>
    <row r="444" spans="1:14">
      <c r="A444" t="s">
        <v>2112</v>
      </c>
      <c r="B444" t="s">
        <v>2078</v>
      </c>
      <c r="C444" t="s">
        <v>2113</v>
      </c>
      <c r="D444" t="s">
        <v>2114</v>
      </c>
      <c r="E444">
        <v>31998156142</v>
      </c>
      <c r="F444" s="4">
        <v>55</v>
      </c>
      <c r="G444" s="4" t="str">
        <f t="shared" si="6"/>
        <v>5531998156142</v>
      </c>
      <c r="H444" t="s">
        <v>2789</v>
      </c>
      <c r="I444" t="s">
        <v>14</v>
      </c>
      <c r="J444" t="s">
        <v>17</v>
      </c>
      <c r="K444" t="s">
        <v>16</v>
      </c>
      <c r="L444" t="s">
        <v>2724</v>
      </c>
      <c r="M444" t="s">
        <v>2725</v>
      </c>
      <c r="N444" t="s">
        <v>2726</v>
      </c>
    </row>
    <row r="445" spans="1:14">
      <c r="A445" t="s">
        <v>2115</v>
      </c>
      <c r="B445" t="s">
        <v>2078</v>
      </c>
      <c r="C445" t="s">
        <v>2116</v>
      </c>
      <c r="D445" t="s">
        <v>2117</v>
      </c>
      <c r="E445">
        <v>12981905222</v>
      </c>
      <c r="F445" s="4">
        <v>55</v>
      </c>
      <c r="G445" s="4" t="str">
        <f t="shared" si="6"/>
        <v>5512981905222</v>
      </c>
      <c r="H445" t="s">
        <v>2780</v>
      </c>
      <c r="I445" t="s">
        <v>14</v>
      </c>
      <c r="J445" t="s">
        <v>19</v>
      </c>
      <c r="K445" t="s">
        <v>16</v>
      </c>
      <c r="L445" t="s">
        <v>2727</v>
      </c>
      <c r="M445" t="s">
        <v>2728</v>
      </c>
      <c r="N445" t="s">
        <v>2729</v>
      </c>
    </row>
    <row r="446" spans="1:14">
      <c r="A446" t="s">
        <v>2118</v>
      </c>
      <c r="B446" t="s">
        <v>2078</v>
      </c>
      <c r="C446" t="s">
        <v>2119</v>
      </c>
      <c r="D446" t="s">
        <v>2120</v>
      </c>
      <c r="F446" s="4">
        <v>55</v>
      </c>
      <c r="G446" s="4" t="str">
        <f t="shared" si="6"/>
        <v>55</v>
      </c>
      <c r="H446" t="s">
        <v>2780</v>
      </c>
      <c r="I446" t="s">
        <v>14</v>
      </c>
      <c r="J446" t="s">
        <v>18</v>
      </c>
      <c r="K446" t="s">
        <v>16</v>
      </c>
      <c r="L446" t="s">
        <v>2730</v>
      </c>
      <c r="M446" t="s">
        <v>2731</v>
      </c>
      <c r="N446" t="s">
        <v>2732</v>
      </c>
    </row>
    <row r="447" spans="1:14">
      <c r="A447" t="s">
        <v>2121</v>
      </c>
      <c r="B447" t="s">
        <v>2122</v>
      </c>
      <c r="C447" t="s">
        <v>2123</v>
      </c>
      <c r="D447" t="s">
        <v>2124</v>
      </c>
      <c r="F447" s="4">
        <v>55</v>
      </c>
      <c r="G447" s="4" t="str">
        <f t="shared" si="6"/>
        <v>55</v>
      </c>
      <c r="H447" t="s">
        <v>2780</v>
      </c>
      <c r="I447" t="s">
        <v>14</v>
      </c>
      <c r="J447" t="s">
        <v>15</v>
      </c>
      <c r="K447" t="s">
        <v>16</v>
      </c>
      <c r="L447" t="s">
        <v>2733</v>
      </c>
      <c r="M447" t="s">
        <v>2734</v>
      </c>
      <c r="N447" t="s">
        <v>2123</v>
      </c>
    </row>
    <row r="448" spans="1:14">
      <c r="A448" t="s">
        <v>2125</v>
      </c>
      <c r="B448" t="s">
        <v>2122</v>
      </c>
      <c r="C448" t="s">
        <v>2126</v>
      </c>
      <c r="D448" t="s">
        <v>2127</v>
      </c>
      <c r="F448" s="4">
        <v>55</v>
      </c>
      <c r="G448" s="4" t="str">
        <f t="shared" si="6"/>
        <v>55</v>
      </c>
      <c r="H448" t="s">
        <v>2780</v>
      </c>
      <c r="I448" t="s">
        <v>14</v>
      </c>
      <c r="J448" t="s">
        <v>15</v>
      </c>
      <c r="K448" t="s">
        <v>16</v>
      </c>
      <c r="L448" t="s">
        <v>2735</v>
      </c>
      <c r="M448" t="s">
        <v>2736</v>
      </c>
      <c r="N448" t="s">
        <v>2737</v>
      </c>
    </row>
    <row r="449" spans="1:14">
      <c r="A449" t="s">
        <v>2128</v>
      </c>
      <c r="B449" t="s">
        <v>2122</v>
      </c>
      <c r="C449" t="s">
        <v>2129</v>
      </c>
      <c r="D449" t="s">
        <v>42</v>
      </c>
      <c r="E449">
        <v>11999699360</v>
      </c>
      <c r="F449" s="4">
        <v>55</v>
      </c>
      <c r="G449" s="4" t="str">
        <f t="shared" si="6"/>
        <v>5511999699360</v>
      </c>
      <c r="H449" t="s">
        <v>2794</v>
      </c>
      <c r="I449" t="s">
        <v>14</v>
      </c>
      <c r="J449" t="s">
        <v>19</v>
      </c>
      <c r="K449" t="s">
        <v>16</v>
      </c>
      <c r="L449" t="s">
        <v>2738</v>
      </c>
      <c r="M449" t="s">
        <v>2739</v>
      </c>
      <c r="N449" t="s">
        <v>2740</v>
      </c>
    </row>
    <row r="450" spans="1:14">
      <c r="A450" t="s">
        <v>2130</v>
      </c>
      <c r="B450" t="s">
        <v>2122</v>
      </c>
      <c r="C450" t="s">
        <v>2131</v>
      </c>
      <c r="D450" t="s">
        <v>42</v>
      </c>
      <c r="E450">
        <v>11995125609</v>
      </c>
      <c r="F450" s="4">
        <v>55</v>
      </c>
      <c r="G450" s="4" t="str">
        <f t="shared" si="6"/>
        <v>5511995125609</v>
      </c>
      <c r="H450" t="s">
        <v>2789</v>
      </c>
      <c r="I450" t="s">
        <v>14</v>
      </c>
      <c r="J450" t="s">
        <v>19</v>
      </c>
      <c r="K450" t="s">
        <v>16</v>
      </c>
      <c r="L450" t="s">
        <v>2741</v>
      </c>
      <c r="M450" t="s">
        <v>2742</v>
      </c>
      <c r="N450" t="s">
        <v>2743</v>
      </c>
    </row>
    <row r="451" spans="1:14">
      <c r="A451" t="s">
        <v>2132</v>
      </c>
      <c r="B451" t="s">
        <v>2122</v>
      </c>
      <c r="C451" t="s">
        <v>2133</v>
      </c>
      <c r="D451" t="s">
        <v>26</v>
      </c>
      <c r="E451">
        <v>12997111317</v>
      </c>
      <c r="F451" s="4">
        <v>55</v>
      </c>
      <c r="G451" s="4" t="str">
        <f t="shared" ref="G451:G514" si="7">CONCATENATE(F451,E451)</f>
        <v>5512997111317</v>
      </c>
      <c r="H451" t="s">
        <v>2789</v>
      </c>
      <c r="I451" t="s">
        <v>14</v>
      </c>
      <c r="J451" t="s">
        <v>19</v>
      </c>
      <c r="K451" t="s">
        <v>16</v>
      </c>
      <c r="L451" t="s">
        <v>2744</v>
      </c>
      <c r="M451" t="s">
        <v>2745</v>
      </c>
      <c r="N451" t="s">
        <v>2746</v>
      </c>
    </row>
    <row r="452" spans="1:14">
      <c r="A452" t="s">
        <v>2134</v>
      </c>
      <c r="B452" t="s">
        <v>2122</v>
      </c>
      <c r="C452" t="s">
        <v>2135</v>
      </c>
      <c r="D452" t="s">
        <v>54</v>
      </c>
      <c r="E452">
        <v>11954750786</v>
      </c>
      <c r="F452" s="4">
        <v>55</v>
      </c>
      <c r="G452" s="4" t="str">
        <f t="shared" si="7"/>
        <v>5511954750786</v>
      </c>
      <c r="H452" t="s">
        <v>2789</v>
      </c>
      <c r="I452" t="s">
        <v>14</v>
      </c>
      <c r="J452" t="s">
        <v>15</v>
      </c>
      <c r="K452" t="s">
        <v>16</v>
      </c>
      <c r="L452" t="s">
        <v>2747</v>
      </c>
      <c r="M452" t="s">
        <v>2748</v>
      </c>
      <c r="N452" t="s">
        <v>2749</v>
      </c>
    </row>
    <row r="453" spans="1:14">
      <c r="A453" t="s">
        <v>2136</v>
      </c>
      <c r="B453" t="s">
        <v>2122</v>
      </c>
      <c r="C453" t="s">
        <v>2137</v>
      </c>
      <c r="D453" t="s">
        <v>2138</v>
      </c>
      <c r="E453">
        <v>11975119995</v>
      </c>
      <c r="F453" s="4">
        <v>55</v>
      </c>
      <c r="G453" s="4" t="str">
        <f t="shared" si="7"/>
        <v>5511975119995</v>
      </c>
      <c r="H453" t="s">
        <v>2780</v>
      </c>
      <c r="I453" t="s">
        <v>14</v>
      </c>
      <c r="J453" t="s">
        <v>18</v>
      </c>
      <c r="K453" t="s">
        <v>16</v>
      </c>
      <c r="L453" t="s">
        <v>2750</v>
      </c>
      <c r="M453" t="s">
        <v>2751</v>
      </c>
      <c r="N453" t="s">
        <v>2752</v>
      </c>
    </row>
    <row r="454" spans="1:14">
      <c r="A454" t="s">
        <v>2139</v>
      </c>
      <c r="B454" t="s">
        <v>2122</v>
      </c>
      <c r="C454" t="s">
        <v>2140</v>
      </c>
      <c r="D454" t="s">
        <v>42</v>
      </c>
      <c r="E454">
        <v>99981211216</v>
      </c>
      <c r="F454" s="4">
        <v>55</v>
      </c>
      <c r="G454" s="4" t="str">
        <f t="shared" si="7"/>
        <v>5599981211216</v>
      </c>
      <c r="H454" t="s">
        <v>2789</v>
      </c>
      <c r="I454" t="s">
        <v>14</v>
      </c>
      <c r="J454" t="s">
        <v>19</v>
      </c>
      <c r="K454" t="s">
        <v>16</v>
      </c>
      <c r="L454" t="s">
        <v>2753</v>
      </c>
      <c r="M454" t="s">
        <v>2754</v>
      </c>
      <c r="N454" t="s">
        <v>2755</v>
      </c>
    </row>
    <row r="455" spans="1:14">
      <c r="A455" t="s">
        <v>2141</v>
      </c>
      <c r="B455" t="s">
        <v>2122</v>
      </c>
      <c r="C455" t="s">
        <v>2142</v>
      </c>
      <c r="D455" t="s">
        <v>2143</v>
      </c>
      <c r="E455">
        <v>11959440951</v>
      </c>
      <c r="F455" s="4">
        <v>55</v>
      </c>
      <c r="G455" s="4" t="str">
        <f t="shared" si="7"/>
        <v>5511959440951</v>
      </c>
      <c r="H455" t="s">
        <v>2780</v>
      </c>
      <c r="I455" t="s">
        <v>14</v>
      </c>
      <c r="J455" t="s">
        <v>15</v>
      </c>
      <c r="K455" t="s">
        <v>16</v>
      </c>
      <c r="L455" t="s">
        <v>2756</v>
      </c>
      <c r="M455" t="s">
        <v>2757</v>
      </c>
      <c r="N455" t="s">
        <v>2758</v>
      </c>
    </row>
    <row r="456" spans="1:14">
      <c r="A456" t="s">
        <v>2144</v>
      </c>
      <c r="B456" t="s">
        <v>2122</v>
      </c>
      <c r="C456" t="s">
        <v>2145</v>
      </c>
      <c r="D456" t="s">
        <v>2146</v>
      </c>
      <c r="E456">
        <v>31993655312</v>
      </c>
      <c r="F456" s="4">
        <v>55</v>
      </c>
      <c r="G456" s="4" t="str">
        <f t="shared" si="7"/>
        <v>5531993655312</v>
      </c>
      <c r="H456" t="s">
        <v>2781</v>
      </c>
      <c r="I456" t="s">
        <v>14</v>
      </c>
      <c r="J456" t="s">
        <v>17</v>
      </c>
      <c r="K456" t="s">
        <v>16</v>
      </c>
      <c r="L456" t="s">
        <v>2759</v>
      </c>
      <c r="M456" t="s">
        <v>405</v>
      </c>
      <c r="N456" t="s">
        <v>405</v>
      </c>
    </row>
    <row r="457" spans="1:14">
      <c r="A457" t="s">
        <v>2147</v>
      </c>
      <c r="B457" t="s">
        <v>2122</v>
      </c>
      <c r="C457" t="s">
        <v>2148</v>
      </c>
      <c r="D457" t="s">
        <v>2149</v>
      </c>
      <c r="E457">
        <v>12981421475</v>
      </c>
      <c r="F457" s="4">
        <v>55</v>
      </c>
      <c r="G457" s="4" t="str">
        <f t="shared" si="7"/>
        <v>5512981421475</v>
      </c>
      <c r="H457" t="s">
        <v>2789</v>
      </c>
      <c r="I457" t="s">
        <v>14</v>
      </c>
      <c r="J457" t="s">
        <v>19</v>
      </c>
      <c r="K457" t="s">
        <v>16</v>
      </c>
      <c r="L457" t="s">
        <v>2760</v>
      </c>
      <c r="M457" t="s">
        <v>2761</v>
      </c>
      <c r="N457" t="s">
        <v>2762</v>
      </c>
    </row>
    <row r="458" spans="1:14">
      <c r="A458" t="s">
        <v>2150</v>
      </c>
      <c r="B458" t="s">
        <v>2122</v>
      </c>
      <c r="C458" t="s">
        <v>2151</v>
      </c>
      <c r="D458" t="s">
        <v>2152</v>
      </c>
      <c r="F458" s="4">
        <v>55</v>
      </c>
      <c r="G458" s="4" t="str">
        <f t="shared" si="7"/>
        <v>55</v>
      </c>
      <c r="H458" t="s">
        <v>2781</v>
      </c>
      <c r="I458" t="s">
        <v>14</v>
      </c>
      <c r="J458" t="s">
        <v>18</v>
      </c>
      <c r="K458" t="s">
        <v>16</v>
      </c>
      <c r="L458" t="s">
        <v>2763</v>
      </c>
      <c r="M458" t="s">
        <v>405</v>
      </c>
      <c r="N458" t="s">
        <v>405</v>
      </c>
    </row>
    <row r="459" spans="1:14">
      <c r="A459" t="s">
        <v>2153</v>
      </c>
      <c r="B459" t="s">
        <v>2122</v>
      </c>
      <c r="C459" t="s">
        <v>2154</v>
      </c>
      <c r="D459" t="s">
        <v>2155</v>
      </c>
      <c r="E459">
        <v>31998185841</v>
      </c>
      <c r="F459" s="4">
        <v>55</v>
      </c>
      <c r="G459" s="4" t="str">
        <f t="shared" si="7"/>
        <v>5531998185841</v>
      </c>
      <c r="H459" t="s">
        <v>2789</v>
      </c>
      <c r="I459" t="s">
        <v>14</v>
      </c>
      <c r="J459" t="s">
        <v>17</v>
      </c>
      <c r="K459" t="s">
        <v>16</v>
      </c>
      <c r="L459" t="s">
        <v>2764</v>
      </c>
      <c r="M459" t="s">
        <v>2765</v>
      </c>
      <c r="N459" t="s">
        <v>2766</v>
      </c>
    </row>
    <row r="460" spans="1:14">
      <c r="A460" t="s">
        <v>2156</v>
      </c>
      <c r="B460" t="s">
        <v>2122</v>
      </c>
      <c r="C460" t="s">
        <v>2157</v>
      </c>
      <c r="D460" t="s">
        <v>42</v>
      </c>
      <c r="E460">
        <v>11963307586</v>
      </c>
      <c r="F460" s="4">
        <v>55</v>
      </c>
      <c r="G460" s="4" t="str">
        <f t="shared" si="7"/>
        <v>5511963307586</v>
      </c>
      <c r="H460" t="s">
        <v>2781</v>
      </c>
      <c r="I460" t="s">
        <v>14</v>
      </c>
      <c r="J460" t="s">
        <v>19</v>
      </c>
      <c r="K460" t="s">
        <v>16</v>
      </c>
      <c r="L460" t="s">
        <v>2767</v>
      </c>
      <c r="M460" t="s">
        <v>405</v>
      </c>
      <c r="N460" t="s">
        <v>405</v>
      </c>
    </row>
    <row r="461" spans="1:14">
      <c r="A461" t="s">
        <v>2158</v>
      </c>
      <c r="B461" t="s">
        <v>2122</v>
      </c>
      <c r="C461" t="s">
        <v>2159</v>
      </c>
      <c r="D461" t="s">
        <v>2160</v>
      </c>
      <c r="E461">
        <v>31984166052</v>
      </c>
      <c r="F461" s="4">
        <v>55</v>
      </c>
      <c r="G461" s="4" t="str">
        <f t="shared" si="7"/>
        <v>5531984166052</v>
      </c>
      <c r="H461" t="s">
        <v>2789</v>
      </c>
      <c r="I461" t="s">
        <v>14</v>
      </c>
      <c r="J461" t="s">
        <v>17</v>
      </c>
      <c r="K461" t="s">
        <v>16</v>
      </c>
      <c r="L461" t="s">
        <v>2768</v>
      </c>
      <c r="M461" t="s">
        <v>2769</v>
      </c>
      <c r="N461" t="s">
        <v>2770</v>
      </c>
    </row>
    <row r="462" spans="1:14">
      <c r="A462" t="s">
        <v>2161</v>
      </c>
      <c r="B462" t="s">
        <v>2122</v>
      </c>
      <c r="C462" t="s">
        <v>2162</v>
      </c>
      <c r="D462" t="s">
        <v>723</v>
      </c>
      <c r="E462">
        <v>12997446907</v>
      </c>
      <c r="F462" s="4">
        <v>55</v>
      </c>
      <c r="G462" s="4" t="str">
        <f t="shared" si="7"/>
        <v>5512997446907</v>
      </c>
      <c r="H462" t="s">
        <v>2789</v>
      </c>
      <c r="I462" t="s">
        <v>14</v>
      </c>
      <c r="J462" t="s">
        <v>19</v>
      </c>
      <c r="K462" t="s">
        <v>16</v>
      </c>
      <c r="L462" t="s">
        <v>2771</v>
      </c>
      <c r="M462" t="s">
        <v>2772</v>
      </c>
      <c r="N462" t="s">
        <v>2773</v>
      </c>
    </row>
    <row r="463" spans="1:14">
      <c r="A463" t="s">
        <v>2163</v>
      </c>
      <c r="B463" t="s">
        <v>2122</v>
      </c>
      <c r="C463" t="s">
        <v>2164</v>
      </c>
      <c r="D463" t="s">
        <v>2165</v>
      </c>
      <c r="E463">
        <v>12997164436</v>
      </c>
      <c r="F463" s="4">
        <v>55</v>
      </c>
      <c r="G463" s="4" t="str">
        <f t="shared" si="7"/>
        <v>5512997164436</v>
      </c>
      <c r="H463" t="s">
        <v>2781</v>
      </c>
      <c r="I463" t="s">
        <v>14</v>
      </c>
      <c r="J463" t="s">
        <v>19</v>
      </c>
      <c r="K463" t="s">
        <v>16</v>
      </c>
      <c r="L463" t="s">
        <v>2774</v>
      </c>
      <c r="M463" t="s">
        <v>405</v>
      </c>
      <c r="N463" t="s">
        <v>405</v>
      </c>
    </row>
    <row r="464" spans="1:14">
      <c r="A464" t="s">
        <v>2166</v>
      </c>
      <c r="B464" t="s">
        <v>2122</v>
      </c>
      <c r="C464" t="s">
        <v>2167</v>
      </c>
      <c r="D464" t="s">
        <v>2168</v>
      </c>
      <c r="E464">
        <v>12991578860</v>
      </c>
      <c r="F464" s="4">
        <v>55</v>
      </c>
      <c r="G464" s="4" t="str">
        <f t="shared" si="7"/>
        <v>5512991578860</v>
      </c>
      <c r="H464" t="s">
        <v>2778</v>
      </c>
      <c r="I464" t="s">
        <v>14</v>
      </c>
      <c r="J464" t="s">
        <v>19</v>
      </c>
      <c r="K464" t="s">
        <v>16</v>
      </c>
      <c r="L464" t="s">
        <v>2775</v>
      </c>
      <c r="M464" t="s">
        <v>2776</v>
      </c>
      <c r="N464" t="s">
        <v>2777</v>
      </c>
    </row>
    <row r="465" spans="1:1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</sheetData>
  <autoFilter ref="A1:N696" xr:uid="{00000000-0001-0000-0300-000000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7"/>
  <sheetViews>
    <sheetView workbookViewId="0">
      <selection activeCell="I6" sqref="I6"/>
    </sheetView>
  </sheetViews>
  <sheetFormatPr defaultColWidth="12.5703125" defaultRowHeight="15" customHeight="1"/>
  <sheetData>
    <row r="1" spans="1:15">
      <c r="A1" s="4" t="str">
        <f ca="1">IFERROR(__xludf.DUMMYFUNCTION("UNIQUE(Folha3!F:F,FALSE,FALSE)"),"Produto")</f>
        <v>Produto</v>
      </c>
      <c r="O1" s="4" t="str">
        <f ca="1">IFERROR(__xludf.DUMMYFUNCTION("UNIQUE(Folha3!H:H,FALSE,FALSE)"),"Ponto de Atendimento")</f>
        <v>Ponto de Atendimento</v>
      </c>
    </row>
    <row r="2" spans="1:15">
      <c r="A2" s="4" t="str">
        <f ca="1">IFERROR(__xludf.DUMMYFUNCTION("""COMPUTED_VALUE"""),"e-CNPJ A3")</f>
        <v>e-CNPJ A3</v>
      </c>
      <c r="G2" s="3" t="s">
        <v>7</v>
      </c>
      <c r="O2" s="4" t="str">
        <f ca="1">IFERROR(__xludf.DUMMYFUNCTION("""COMPUTED_VALUE"""),"Ponto de Atendimento AR Certifast - Maua Centro/SP")</f>
        <v>Ponto de Atendimento AR Certifast - Maua Centro/SP</v>
      </c>
    </row>
    <row r="3" spans="1:15">
      <c r="A3" s="4" t="str">
        <f ca="1">IFERROR(__xludf.DUMMYFUNCTION("""COMPUTED_VALUE"""),"e-CPF A3")</f>
        <v>e-CPF A3</v>
      </c>
      <c r="G3" s="4" t="s">
        <v>15</v>
      </c>
      <c r="L3" s="3" t="s">
        <v>1449</v>
      </c>
      <c r="O3" s="4" t="str">
        <f ca="1">IFERROR(__xludf.DUMMYFUNCTION("""COMPUTED_VALUE"""),"Ponto de Atendimento AR Certifast - Prado BH/MG")</f>
        <v>Ponto de Atendimento AR Certifast - Prado BH/MG</v>
      </c>
    </row>
    <row r="4" spans="1:15">
      <c r="A4" s="4" t="str">
        <f ca="1">IFERROR(__xludf.DUMMYFUNCTION("""COMPUTED_VALUE"""),"e-CPF A1")</f>
        <v>e-CPF A1</v>
      </c>
      <c r="G4" s="4" t="s">
        <v>17</v>
      </c>
      <c r="L4" s="3" t="s">
        <v>1450</v>
      </c>
      <c r="O4" s="4" t="str">
        <f ca="1">IFERROR(__xludf.DUMMYFUNCTION("""COMPUTED_VALUE"""),"AR Certifast")</f>
        <v>AR Certifast</v>
      </c>
    </row>
    <row r="5" spans="1:15">
      <c r="A5" s="4" t="str">
        <f ca="1">IFERROR(__xludf.DUMMYFUNCTION("""COMPUTED_VALUE"""),"e-CNPJ A1")</f>
        <v>e-CNPJ A1</v>
      </c>
      <c r="G5" s="4" t="s">
        <v>18</v>
      </c>
      <c r="L5" s="3" t="s">
        <v>1451</v>
      </c>
      <c r="O5" s="4" t="str">
        <f ca="1">IFERROR(__xludf.DUMMYFUNCTION("""COMPUTED_VALUE"""),"PONTO DE ATENDIMENTO AR CERTIFAST - ANDROMEDA/SP")</f>
        <v>PONTO DE ATENDIMENTO AR CERTIFAST - ANDROMEDA/SP</v>
      </c>
    </row>
    <row r="6" spans="1:15">
      <c r="A6" s="4"/>
      <c r="G6" s="4" t="s">
        <v>19</v>
      </c>
      <c r="L6" s="3" t="s">
        <v>1452</v>
      </c>
      <c r="O6" s="4" t="str">
        <f ca="1">IFERROR(__xludf.DUMMYFUNCTION("""COMPUTED_VALUE"""),"Ponto de Atendimento AR Certifast - Pauliceia/SP")</f>
        <v>Ponto de Atendimento AR Certifast - Pauliceia/SP</v>
      </c>
    </row>
    <row r="7" spans="1:15">
      <c r="A7" s="3"/>
      <c r="G7" s="4" t="s">
        <v>20</v>
      </c>
      <c r="L7" s="3" t="s">
        <v>1451</v>
      </c>
      <c r="O7" s="4" t="str">
        <f ca="1">IFERROR(__xludf.DUMMYFUNCTION("""COMPUTED_VALUE"""),"PONTO DE ATENDIMENTO AR CERTIFAST - CARIJOS - STA/SP")</f>
        <v>PONTO DE ATENDIMENTO AR CERTIFAST - CARIJOS - STA/SP</v>
      </c>
    </row>
    <row r="8" spans="1:15">
      <c r="G8" s="4" t="s">
        <v>37</v>
      </c>
      <c r="L8" s="3" t="s">
        <v>1451</v>
      </c>
      <c r="O8" s="4" t="str">
        <f ca="1">IFERROR(__xludf.DUMMYFUNCTION("""COMPUTED_VALUE"""),"Ponto de Atendimento AR Certifast - Galeria Nova Barao - Edificio 3/SP")</f>
        <v>Ponto de Atendimento AR Certifast - Galeria Nova Barao - Edificio 3/SP</v>
      </c>
    </row>
    <row r="9" spans="1:15">
      <c r="G9" s="4" t="s">
        <v>79</v>
      </c>
      <c r="L9" s="3" t="s">
        <v>1451</v>
      </c>
      <c r="O9" s="4" t="str">
        <f ca="1">IFERROR(__xludf.DUMMYFUNCTION("""COMPUTED_VALUE"""),"PONTO DE ATENDIMENTO AR CERTIFAST - ILHABELA/SP")</f>
        <v>PONTO DE ATENDIMENTO AR CERTIFAST - ILHABELA/SP</v>
      </c>
    </row>
    <row r="10" spans="1:15">
      <c r="G10" s="4" t="s">
        <v>98</v>
      </c>
      <c r="L10" s="3" t="s">
        <v>1453</v>
      </c>
      <c r="O10" s="4" t="str">
        <f ca="1">IFERROR(__xludf.DUMMYFUNCTION("""COMPUTED_VALUE"""),"Ponto de Atendimento AR Certifast - Prado BH/MG - JUS")</f>
        <v>Ponto de Atendimento AR Certifast - Prado BH/MG - JUS</v>
      </c>
    </row>
    <row r="11" spans="1:15">
      <c r="G11" s="4" t="s">
        <v>101</v>
      </c>
      <c r="L11" s="3" t="s">
        <v>1450</v>
      </c>
      <c r="O11" s="4" t="str">
        <f ca="1">IFERROR(__xludf.DUMMYFUNCTION("""COMPUTED_VALUE"""),"PONTO DE ATENDIMENTO AR Certifast - Sao Jose dos Campos/SP")</f>
        <v>PONTO DE ATENDIMENTO AR Certifast - Sao Jose dos Campos/SP</v>
      </c>
    </row>
    <row r="12" spans="1:15">
      <c r="G12" s="4" t="s">
        <v>129</v>
      </c>
      <c r="L12" s="3" t="s">
        <v>1454</v>
      </c>
      <c r="O12" s="4" t="str">
        <f ca="1">IFERROR(__xludf.DUMMYFUNCTION("""COMPUTED_VALUE"""),"PONTO DE ATENDIMENTO AR CERTIFAST - ANDROMEDA/SP - JUS")</f>
        <v>PONTO DE ATENDIMENTO AR CERTIFAST - ANDROMEDA/SP - JUS</v>
      </c>
    </row>
    <row r="13" spans="1:15">
      <c r="G13" s="4" t="s">
        <v>158</v>
      </c>
      <c r="L13" s="3" t="s">
        <v>1452</v>
      </c>
      <c r="O13" s="4" t="str">
        <f ca="1">IFERROR(__xludf.DUMMYFUNCTION("""COMPUTED_VALUE"""),"AR Certifast - Jus")</f>
        <v>AR Certifast - Jus</v>
      </c>
    </row>
    <row r="14" spans="1:15">
      <c r="G14" s="4" t="s">
        <v>383</v>
      </c>
      <c r="L14" s="3" t="s">
        <v>1451</v>
      </c>
      <c r="O14" s="4" t="str">
        <f ca="1">IFERROR(__xludf.DUMMYFUNCTION("""COMPUTED_VALUE"""),"Ponto de Atendimento AR Certifast - Maua Centro/SP - Jus")</f>
        <v>Ponto de Atendimento AR Certifast - Maua Centro/SP - Jus</v>
      </c>
    </row>
    <row r="15" spans="1:15">
      <c r="G15" s="4" t="s">
        <v>397</v>
      </c>
      <c r="L15" s="3" t="s">
        <v>1449</v>
      </c>
      <c r="O15" s="4" t="str">
        <f ca="1">IFERROR(__xludf.DUMMYFUNCTION("""COMPUTED_VALUE"""),"Ponto de Atendimento AR Certifast - Jundiai Centro/SP")</f>
        <v>Ponto de Atendimento AR Certifast - Jundiai Centro/SP</v>
      </c>
    </row>
    <row r="16" spans="1:15">
      <c r="G16" s="4" t="s">
        <v>398</v>
      </c>
      <c r="L16" s="3" t="s">
        <v>1451</v>
      </c>
      <c r="O16" s="4" t="str">
        <f ca="1">IFERROR(__xludf.DUMMYFUNCTION("""COMPUTED_VALUE"""),"Ponto de Atendimento AR Certifast - Galeria Nova Barao - Edificio 3/SP - Jus")</f>
        <v>Ponto de Atendimento AR Certifast - Galeria Nova Barao - Edificio 3/SP - Jus</v>
      </c>
    </row>
    <row r="17" spans="7:15">
      <c r="G17" s="4" t="s">
        <v>404</v>
      </c>
      <c r="L17" s="3" t="s">
        <v>1451</v>
      </c>
      <c r="O1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Folha3</vt:lpstr>
      <vt:lpstr>Transferencia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Mantovan</cp:lastModifiedBy>
  <dcterms:modified xsi:type="dcterms:W3CDTF">2025-01-21T20:28:30Z</dcterms:modified>
</cp:coreProperties>
</file>